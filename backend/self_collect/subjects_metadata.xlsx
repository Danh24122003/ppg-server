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bjects" sheetId="1" state="visible" r:id="rId1"/>
    <sheet name="BP_Reference" sheetId="2" state="visible" r:id="rId2"/>
    <sheet name="Protocol_Checklist" sheetId="3" state="visible" r:id="rId3"/>
    <sheet name="Schema_v1.1_Not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v1.1 schema</author>
    <author>Methodology Note</author>
    <author>quality v2</author>
    <author>medication v1.2</author>
  </authors>
  <commentList>
    <comment ref="AA1" authorId="0" shapeId="0">
      <text>
        <t>Vòng tay PHẢI (Omron fit 22-32 cm)</t>
      </text>
    </comment>
    <comment ref="AB1" authorId="0" shapeId="0">
      <text>
        <t>Chênh BP 2 tay (chỉ Session 1; &gt;10 note, &gt;20 exclude)</t>
      </text>
    </comment>
    <comment ref="AC1" authorId="0" shapeId="0">
      <text>
        <t>Giờ kể từ lần uống cà phê/trà gần nhất</t>
      </text>
    </comment>
    <comment ref="AD1" authorId="0" shapeId="0">
      <text>
        <t>Giờ kể từ lần vận động mạnh gần nhất</t>
      </text>
    </comment>
    <comment ref="AE1" authorId="0" shapeId="0">
      <text>
        <t>HR Omron lần 1 (drop)</t>
      </text>
    </comment>
    <comment ref="AF1" authorId="0" shapeId="0">
      <text>
        <t>HR Omron lần 2</t>
      </text>
    </comment>
    <comment ref="AG1" authorId="0" shapeId="0">
      <text>
        <t>HR Omron lần 3</t>
      </text>
    </comment>
    <comment ref="AH1" authorId="1" shapeId="0">
      <text>
        <t>IMPORTANT (per supervisor 2026-05-10):
This column shows BP READING CATEGORY at single session
per AHA 2017 / ESH 2018 classification.
It is NOT a clinical HTN diagnosis.
HTN diagnosis requires:
- 2+ sessions on 2+ different days
- Sustained elevation across visits
- Or 24h ABPM, or physician confirmation
Single elevated reading = elevated reading category,
NOT a diagnosis.
Example: CH S1=127 (Stage 1 reading) but S2=112 (Normal),
S3=123 (Elevated) - BP variability, NOT HTN.</t>
      </text>
    </comment>
    <comment ref="AI1" authorId="0" shapeId="0">
      <text>
        <t>LOSO fold assignment (1-15) cho training</t>
      </text>
    </comment>
    <comment ref="AJ1" authorId="0" shapeId="0">
      <text>
        <t>v1.0 hoặc v1.1 (track schema migration)</t>
      </text>
    </comment>
    <comment ref="AK1" authorId="2" shapeId="0">
      <text>
        <t>A=clean train+calib, B=salvageable, C=calib only</t>
      </text>
    </comment>
    <comment ref="AL1" authorId="2" shapeId="0">
      <text>
        <t>Y/N - dung de train ML</t>
      </text>
    </comment>
    <comment ref="AM1" authorId="2" shapeId="0">
      <text>
        <t>Ly do flag</t>
      </text>
    </comment>
    <comment ref="AN1" authorId="2" shapeId="0">
      <text>
        <t>PI tu eval (AC IR / DC IR * 100)</t>
      </text>
    </comment>
    <comment ref="AO1" authorId="3" shapeId="0">
      <text>
        <t>Liều thuốc HA (vd 5, 10/12.5 cho combo)</t>
      </text>
    </comment>
    <comment ref="AP1" authorId="3" shapeId="0">
      <text>
        <t>So gio ke tu lan uong thuoc gan nhat</t>
      </text>
    </comment>
    <comment ref="AQ1" authorId="3" shapeId="0">
      <text>
        <t>So nam ke tu chan doan HTN</t>
      </text>
    </comment>
    <comment ref="AR1" authorId="3" shapeId="0">
      <text>
        <t>None / Stage 1 HTN / Stage 2 HTN (theo diagnosis cu, KHONG dung lam ML label)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tabSelected="1" topLeftCell="K1" zoomScale="95" zoomScaleNormal="95" workbookViewId="0">
      <pane ySplit="1" topLeftCell="A20" activePane="bottomLeft" state="frozen"/>
      <selection pane="bottomLeft" activeCell="S33" sqref="S33"/>
    </sheetView>
  </sheetViews>
  <sheetFormatPr baseColWidth="8" defaultRowHeight="14.4"/>
  <cols>
    <col width="12" customWidth="1" min="1" max="2"/>
    <col width="6" customWidth="1" min="3" max="4"/>
    <col width="10" customWidth="1" min="5" max="6"/>
    <col width="8" customWidth="1" min="7" max="7"/>
    <col width="13" customWidth="1" min="8" max="8"/>
    <col width="12" customWidth="1" min="9" max="9"/>
    <col width="18" customWidth="1" min="10" max="10"/>
    <col width="9" customWidth="1" min="11" max="11"/>
    <col width="10" customWidth="1" min="12" max="13"/>
    <col width="14" customWidth="1" min="14" max="17"/>
    <col width="17" customWidth="1" min="18" max="19"/>
    <col width="11" customWidth="1" min="20" max="21"/>
    <col width="28" customWidth="1" min="22" max="22"/>
    <col width="11" customWidth="1" min="23" max="23"/>
    <col width="8" customWidth="1" min="24" max="24"/>
    <col width="22" customWidth="1" min="25" max="25"/>
    <col width="37" customWidth="1" min="26" max="26"/>
    <col width="13" customWidth="1" min="27" max="35"/>
    <col width="13" customWidth="1" style="18" min="36" max="38"/>
    <col width="13" customWidth="1" style="16" min="39" max="39"/>
    <col width="13" customWidth="1" min="40" max="44"/>
  </cols>
  <sheetData>
    <row r="1" ht="31.95" customHeight="1">
      <c r="A1" s="19" t="inlineStr">
        <is>
          <t>subject_id</t>
        </is>
      </c>
      <c r="B1" s="1" t="inlineStr">
        <is>
          <t>session_date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bmi</t>
        </is>
      </c>
      <c r="H1" s="1" t="inlineStr">
        <is>
          <t>hypertension</t>
        </is>
      </c>
      <c r="I1" s="1" t="inlineStr">
        <is>
          <t>medication</t>
        </is>
      </c>
      <c r="J1" s="1" t="inlineStr">
        <is>
          <t>medication_name</t>
        </is>
      </c>
      <c r="K1" s="1" t="inlineStr">
        <is>
          <t>smoking</t>
        </is>
      </c>
      <c r="L1" s="1" t="inlineStr">
        <is>
          <t>finger</t>
        </is>
      </c>
      <c r="M1" s="1" t="inlineStr">
        <is>
          <t>cuff_arm</t>
        </is>
      </c>
      <c r="N1" s="1" t="inlineStr">
        <is>
          <t>sbp_baseline_1</t>
        </is>
      </c>
      <c r="O1" s="1" t="inlineStr">
        <is>
          <t>dbp_baseline_1</t>
        </is>
      </c>
      <c r="P1" s="1" t="inlineStr">
        <is>
          <t>sbp_baseline_2</t>
        </is>
      </c>
      <c r="Q1" s="1" t="inlineStr">
        <is>
          <t>dbp_baseline_2</t>
        </is>
      </c>
      <c r="R1" s="1" t="inlineStr">
        <is>
          <t>sbp_baseline_mean</t>
        </is>
      </c>
      <c r="S1" s="1" t="inlineStr">
        <is>
          <t>dbp_baseline_mean</t>
        </is>
      </c>
      <c r="T1" s="1" t="inlineStr">
        <is>
          <t>sbp_post</t>
        </is>
      </c>
      <c r="U1" s="1" t="inlineStr">
        <is>
          <t>dbp_post</t>
        </is>
      </c>
      <c r="V1" s="1" t="inlineStr">
        <is>
          <t>csv_file</t>
        </is>
      </c>
      <c r="W1" s="1" t="inlineStr">
        <is>
          <t>duration_s</t>
        </is>
      </c>
      <c r="X1" s="1" t="inlineStr">
        <is>
          <t>fs_hz</t>
        </is>
      </c>
      <c r="Y1" s="1" t="inlineStr">
        <is>
          <t>signal_quality_notes</t>
        </is>
      </c>
      <c r="Z1" s="1" t="inlineStr">
        <is>
          <t>general_notes</t>
        </is>
      </c>
      <c r="AA1" s="1" t="inlineStr">
        <is>
          <t>arm_circumference_cm</t>
        </is>
      </c>
      <c r="AB1" s="1" t="inlineStr">
        <is>
          <t>inter_arm_diff_sbp</t>
        </is>
      </c>
      <c r="AC1" s="1" t="inlineStr">
        <is>
          <t>hours_since_caffeine</t>
        </is>
      </c>
      <c r="AD1" s="1" t="inlineStr">
        <is>
          <t>hours_since_exercise</t>
        </is>
      </c>
      <c r="AE1" s="1" t="inlineStr">
        <is>
          <t>hr_baseline_1</t>
        </is>
      </c>
      <c r="AF1" s="1" t="inlineStr">
        <is>
          <t>hr_baseline_2</t>
        </is>
      </c>
      <c r="AG1" s="1" t="inlineStr">
        <is>
          <t>hr_baseline_3</t>
        </is>
      </c>
      <c r="AH1" s="1" t="inlineStr">
        <is>
          <t>bp_category</t>
        </is>
      </c>
      <c r="AI1" s="1" t="inlineStr">
        <is>
          <t>cv_fold</t>
        </is>
      </c>
      <c r="AJ1" s="1" t="inlineStr">
        <is>
          <t>protocol_version</t>
        </is>
      </c>
      <c r="AK1" s="1" t="inlineStr">
        <is>
          <t>quality_tier</t>
        </is>
      </c>
      <c r="AL1" s="1" t="inlineStr">
        <is>
          <t>training_eligible</t>
        </is>
      </c>
      <c r="AM1" s="14" t="inlineStr">
        <is>
          <t>quality_flag_reason</t>
        </is>
      </c>
      <c r="AN1" s="1" t="inlineStr">
        <is>
          <t>pi_ir_pct</t>
        </is>
      </c>
      <c r="AO1" s="1" t="inlineStr">
        <is>
          <t>medication_dose_mg</t>
        </is>
      </c>
      <c r="AP1" s="1" t="inlineStr">
        <is>
          <t>medication_taken_today_hr_ago</t>
        </is>
      </c>
      <c r="AQ1" s="1" t="inlineStr">
        <is>
          <t>years_since_diagnosis</t>
        </is>
      </c>
      <c r="AR1" s="1" t="inlineStr">
        <is>
          <t>bp_category_diagnosed</t>
        </is>
      </c>
      <c r="AS1" t="inlineStr">
        <is>
          <t>classification_note</t>
        </is>
      </c>
    </row>
    <row r="2">
      <c r="A2" s="2" t="inlineStr">
        <is>
          <t>S001</t>
        </is>
      </c>
      <c r="B2" s="2" t="inlineStr">
        <is>
          <t>2026-04-29</t>
        </is>
      </c>
      <c r="C2" s="2" t="n">
        <v>23</v>
      </c>
      <c r="D2" s="2" t="inlineStr">
        <is>
          <t>M</t>
        </is>
      </c>
      <c r="E2" s="2" t="n">
        <v>182</v>
      </c>
      <c r="F2" s="2" t="n">
        <v>68</v>
      </c>
      <c r="G2" s="2">
        <f>ROUND(F2/((E2/100)^2),1)</f>
        <v/>
      </c>
      <c r="H2" s="2" t="inlineStr">
        <is>
          <t>n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middle</t>
        </is>
      </c>
      <c r="M2" s="2" t="inlineStr">
        <is>
          <t>left</t>
        </is>
      </c>
      <c r="N2" s="2" t="n">
        <v>105</v>
      </c>
      <c r="O2" s="2" t="n">
        <v>72</v>
      </c>
      <c r="P2" s="2" t="n">
        <v>108</v>
      </c>
      <c r="Q2" s="2" t="n">
        <v>69</v>
      </c>
      <c r="R2" s="2">
        <f>ROUND((N2+P2)/2,0)</f>
        <v/>
      </c>
      <c r="S2" s="2">
        <f>ROUND((O2+Q2)/2,0)</f>
        <v/>
      </c>
      <c r="T2" s="2" t="n">
        <v>110</v>
      </c>
      <c r="U2" s="2" t="n">
        <v>78</v>
      </c>
      <c r="V2" s="2" t="inlineStr">
        <is>
          <t>Danh01_20260429_051348.csv</t>
        </is>
      </c>
      <c r="W2" s="2" t="n">
        <v>373.8</v>
      </c>
      <c r="X2" s="2" t="n">
        <v>104</v>
      </c>
      <c r="Y2" s="2" t="n"/>
      <c r="Z2" s="2" t="inlineStr">
        <is>
          <t>Đo lúc 5.am, ngồi yên 5 phút trước đo</t>
        </is>
      </c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5" t="n"/>
      <c r="AK2" s="5" t="inlineStr">
        <is>
          <t>A</t>
        </is>
      </c>
      <c r="AL2" s="5" t="inlineStr">
        <is>
          <t>Y</t>
        </is>
      </c>
      <c r="AM2" s="15" t="n"/>
      <c r="AN2" s="13" t="n">
        <v>2.45</v>
      </c>
      <c r="AO2" s="13" t="n"/>
      <c r="AP2" s="13" t="n"/>
      <c r="AQ2" s="13" t="n"/>
      <c r="AR2" s="13" t="n"/>
      <c r="AS2" t="inlineStr">
        <is>
          <t>Single-session BP reading per AHA 2017. NOT HTN diagnosis (requires multi-session sustained elevation).</t>
        </is>
      </c>
    </row>
    <row r="3">
      <c r="A3" s="2" t="inlineStr">
        <is>
          <t>S002</t>
        </is>
      </c>
      <c r="B3" s="2" t="inlineStr">
        <is>
          <t>2026-04-29</t>
        </is>
      </c>
      <c r="C3" s="2" t="n">
        <v>23</v>
      </c>
      <c r="D3" s="2" t="inlineStr">
        <is>
          <t>M</t>
        </is>
      </c>
      <c r="E3" s="2" t="n">
        <v>162</v>
      </c>
      <c r="F3" s="2" t="n">
        <v>60</v>
      </c>
      <c r="G3" s="2">
        <f>IFERROR(ROUND(F3/((E3/100)^2),1),"")</f>
        <v/>
      </c>
      <c r="H3" s="2" t="inlineStr">
        <is>
          <t>n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y</t>
        </is>
      </c>
      <c r="L3" s="2" t="inlineStr">
        <is>
          <t>middle</t>
        </is>
      </c>
      <c r="M3" s="2" t="inlineStr">
        <is>
          <t>left</t>
        </is>
      </c>
      <c r="N3" s="2" t="n">
        <v>97</v>
      </c>
      <c r="O3" s="2" t="n">
        <v>70</v>
      </c>
      <c r="P3" s="2" t="n">
        <v>99</v>
      </c>
      <c r="Q3" s="2" t="n">
        <v>67</v>
      </c>
      <c r="R3" s="2">
        <f>IFERROR(ROUND((N3+P3)/2,0),"")</f>
        <v/>
      </c>
      <c r="S3" s="2">
        <f>IFERROR(ROUND((O3+Q3)/2,0),"")</f>
        <v/>
      </c>
      <c r="T3" s="2" t="n">
        <v>106</v>
      </c>
      <c r="U3" s="2" t="n">
        <v>61</v>
      </c>
      <c r="V3" s="2" t="inlineStr">
        <is>
          <t>Quoc_01_20260429_104215.csv</t>
        </is>
      </c>
      <c r="W3" s="2" t="n">
        <v>579.2</v>
      </c>
      <c r="X3" s="2" t="n">
        <v>104</v>
      </c>
      <c r="Y3" s="2" t="n"/>
      <c r="Z3" s="2" t="inlineStr">
        <is>
          <t>Đo lúc mới ngủ dậy, ngôì yên 5 phút trước đo</t>
        </is>
      </c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5" t="n"/>
      <c r="AK3" s="5" t="inlineStr">
        <is>
          <t>A</t>
        </is>
      </c>
      <c r="AL3" s="5" t="inlineStr">
        <is>
          <t>Y</t>
        </is>
      </c>
      <c r="AM3" s="15" t="n"/>
      <c r="AN3" s="13" t="n">
        <v>1.53</v>
      </c>
      <c r="AO3" s="13" t="n"/>
      <c r="AP3" s="13" t="n"/>
      <c r="AQ3" s="13" t="n"/>
      <c r="AR3" s="13" t="n"/>
      <c r="AS3" t="inlineStr">
        <is>
          <t>Single-session BP reading per AHA 2017. NOT HTN diagnosis (requires multi-session sustained elevation).</t>
        </is>
      </c>
    </row>
    <row r="4">
      <c r="A4" s="2" t="inlineStr">
        <is>
          <t>S003</t>
        </is>
      </c>
      <c r="B4" s="2" t="inlineStr">
        <is>
          <t>2026-04-28</t>
        </is>
      </c>
      <c r="C4" s="2" t="n">
        <v>23</v>
      </c>
      <c r="D4" s="2" t="inlineStr">
        <is>
          <t>M</t>
        </is>
      </c>
      <c r="E4" s="2" t="n">
        <v>182</v>
      </c>
      <c r="F4" s="2" t="n">
        <v>68</v>
      </c>
      <c r="G4" s="2">
        <f>IFERROR(ROUND(F4/((E4/100)^2),1),"")</f>
        <v/>
      </c>
      <c r="H4" s="2" t="inlineStr">
        <is>
          <t>n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middle</t>
        </is>
      </c>
      <c r="M4" s="2" t="inlineStr">
        <is>
          <t>left</t>
        </is>
      </c>
      <c r="N4" s="2" t="n"/>
      <c r="O4" s="2" t="n"/>
      <c r="P4" s="2" t="n"/>
      <c r="Q4" s="2" t="n"/>
      <c r="R4" s="2">
        <f>IFERROR(ROUND((N4+P4)/2,0),"")</f>
        <v/>
      </c>
      <c r="S4" s="2">
        <f>IFERROR(ROUND((O4+Q4)/2,0),"")</f>
        <v/>
      </c>
      <c r="T4" s="2" t="n">
        <v>99</v>
      </c>
      <c r="U4" s="2" t="n">
        <v>67</v>
      </c>
      <c r="V4" s="2" t="inlineStr">
        <is>
          <t>Self_test 01_20260428_030211.csv</t>
        </is>
      </c>
      <c r="W4" s="2" t="n">
        <v>362.2</v>
      </c>
      <c r="X4" s="2" t="n">
        <v>104</v>
      </c>
      <c r="Y4" s="2" t="n"/>
      <c r="Z4" s="2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5" t="n"/>
      <c r="AK4" s="5" t="inlineStr">
        <is>
          <t>A</t>
        </is>
      </c>
      <c r="AL4" s="5" t="inlineStr">
        <is>
          <t>Y</t>
        </is>
      </c>
      <c r="AM4" s="15" t="n"/>
      <c r="AN4" s="13" t="n">
        <v>1.85</v>
      </c>
      <c r="AO4" s="13" t="n"/>
      <c r="AP4" s="13" t="n"/>
      <c r="AQ4" s="13" t="n"/>
      <c r="AR4" s="13" t="n"/>
      <c r="AS4" t="inlineStr">
        <is>
          <t>Single-session BP reading per AHA 2017. NOT HTN diagnosis (requires multi-session sustained elevation).</t>
        </is>
      </c>
    </row>
    <row r="5">
      <c r="A5" s="2" t="inlineStr">
        <is>
          <t>S004</t>
        </is>
      </c>
      <c r="B5" s="2" t="inlineStr">
        <is>
          <t>2026-04-29</t>
        </is>
      </c>
      <c r="C5" s="2" t="n">
        <v>19</v>
      </c>
      <c r="D5" s="2" t="inlineStr">
        <is>
          <t>F</t>
        </is>
      </c>
      <c r="E5" s="2" t="n">
        <v>152</v>
      </c>
      <c r="F5" s="2" t="n">
        <v>45</v>
      </c>
      <c r="G5" s="2">
        <f>IFERROR(ROUND(F5/((E5/100)^2),1),"")</f>
        <v/>
      </c>
      <c r="H5" s="2" t="inlineStr">
        <is>
          <t>n</t>
        </is>
      </c>
      <c r="I5" s="2" t="inlineStr">
        <is>
          <t>n</t>
        </is>
      </c>
      <c r="J5" s="2" t="inlineStr">
        <is>
          <t>n</t>
        </is>
      </c>
      <c r="K5" s="2" t="inlineStr">
        <is>
          <t>n</t>
        </is>
      </c>
      <c r="L5" s="2" t="inlineStr">
        <is>
          <t>middle</t>
        </is>
      </c>
      <c r="M5" s="2" t="inlineStr">
        <is>
          <t>left</t>
        </is>
      </c>
      <c r="N5" s="2" t="n">
        <v>93</v>
      </c>
      <c r="O5" s="2" t="n">
        <v>67</v>
      </c>
      <c r="P5" s="2" t="n">
        <v>99</v>
      </c>
      <c r="Q5" s="2" t="n">
        <v>75</v>
      </c>
      <c r="R5" s="2">
        <f>IFERROR(ROUND((N5+P5)/2,0),"")</f>
        <v/>
      </c>
      <c r="S5" s="2">
        <f>IFERROR(ROUND((O5+Q5)/2,0),"")</f>
        <v/>
      </c>
      <c r="T5" s="2" t="n">
        <v>104</v>
      </c>
      <c r="U5" s="2" t="n">
        <v>80</v>
      </c>
      <c r="V5" s="2" t="inlineStr">
        <is>
          <t>Minh_01_20260429_145144.csv</t>
        </is>
      </c>
      <c r="W5" s="2" t="n">
        <v>462.4</v>
      </c>
      <c r="X5" s="2" t="n">
        <v>91</v>
      </c>
      <c r="Y5" s="2" t="n"/>
      <c r="Z5" s="2" t="inlineStr">
        <is>
          <t>Chưa ăn sáng; ngồi im</t>
        </is>
      </c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5" t="n"/>
      <c r="AK5" s="5" t="inlineStr">
        <is>
          <t>C</t>
        </is>
      </c>
      <c r="AL5" s="5" t="inlineStr">
        <is>
          <t>N</t>
        </is>
      </c>
      <c r="AM5" s="15" t="inlineStr">
        <is>
          <t>PI low 0.58% (sat reject 0.5%); F/19; calibration anchor only</t>
        </is>
      </c>
      <c r="AN5" s="13" t="n">
        <v>0.58</v>
      </c>
      <c r="AO5" s="13" t="n"/>
      <c r="AP5" s="13" t="n"/>
      <c r="AQ5" s="13" t="n"/>
      <c r="AR5" s="13" t="n"/>
      <c r="AS5" t="inlineStr">
        <is>
          <t>Single-session BP reading per AHA 2017. NOT HTN diagnosis (requires multi-session sustained elevation).</t>
        </is>
      </c>
    </row>
    <row r="6">
      <c r="A6" s="2" t="inlineStr">
        <is>
          <t>S005</t>
        </is>
      </c>
      <c r="B6" s="2" t="inlineStr">
        <is>
          <t>2026-04-29</t>
        </is>
      </c>
      <c r="C6" s="2" t="n">
        <v>19</v>
      </c>
      <c r="D6" s="2" t="inlineStr">
        <is>
          <t>M</t>
        </is>
      </c>
      <c r="E6" s="2" t="n">
        <v>167</v>
      </c>
      <c r="F6" s="2" t="n">
        <v>62</v>
      </c>
      <c r="G6" s="2">
        <f>IFERROR(ROUND(F6/((E6/100)^2),1),"")</f>
        <v/>
      </c>
      <c r="H6" s="2" t="inlineStr">
        <is>
          <t>n</t>
        </is>
      </c>
      <c r="I6" s="2" t="inlineStr">
        <is>
          <t>n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middle</t>
        </is>
      </c>
      <c r="M6" s="2" t="inlineStr">
        <is>
          <t>left</t>
        </is>
      </c>
      <c r="N6" s="2" t="n">
        <v>124</v>
      </c>
      <c r="O6" s="2" t="n">
        <v>81</v>
      </c>
      <c r="P6" s="2" t="n">
        <v>118</v>
      </c>
      <c r="Q6" s="2" t="n">
        <v>77</v>
      </c>
      <c r="R6" s="2">
        <f>IFERROR(ROUND((N6+P6)/2,0),"")</f>
        <v/>
      </c>
      <c r="S6" s="2">
        <f>IFERROR(ROUND((O6+Q6)/2,0),"")</f>
        <v/>
      </c>
      <c r="T6" s="2" t="n">
        <v>112</v>
      </c>
      <c r="U6" s="2" t="n">
        <v>82</v>
      </c>
      <c r="V6" s="2" t="inlineStr">
        <is>
          <t>Sub_3_20260429_150828.csv</t>
        </is>
      </c>
      <c r="W6" s="2" t="n">
        <v>705.2</v>
      </c>
      <c r="X6" s="2" t="n">
        <v>104</v>
      </c>
      <c r="Y6" s="2" t="n"/>
      <c r="Z6" s="2" t="inlineStr">
        <is>
          <t>Ăn sáng; ngồi im khi đo</t>
        </is>
      </c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5" t="n"/>
      <c r="AK6" s="5" t="inlineStr">
        <is>
          <t>B</t>
        </is>
      </c>
      <c r="AL6" s="5" t="inlineStr">
        <is>
          <t>Y</t>
        </is>
      </c>
      <c r="AM6" s="15" t="inlineStr">
        <is>
          <t>fs drift 80.7Hz vs claim 104; fixed sau khi sua train_ppg_bp.py</t>
        </is>
      </c>
      <c r="AN6" s="13" t="n">
        <v>1.38</v>
      </c>
      <c r="AO6" s="13" t="n"/>
      <c r="AP6" s="13" t="n"/>
      <c r="AQ6" s="13" t="n"/>
      <c r="AR6" s="13" t="n"/>
      <c r="AS6" t="inlineStr">
        <is>
          <t>Single-session BP reading per AHA 2017. NOT HTN diagnosis (requires multi-session sustained elevation).</t>
        </is>
      </c>
    </row>
    <row r="7">
      <c r="A7" s="2" t="inlineStr">
        <is>
          <t>S006</t>
        </is>
      </c>
      <c r="B7" s="2" t="inlineStr">
        <is>
          <t>2026-04-29</t>
        </is>
      </c>
      <c r="C7" s="2" t="n">
        <v>23</v>
      </c>
      <c r="D7" s="2" t="inlineStr">
        <is>
          <t>M</t>
        </is>
      </c>
      <c r="E7" s="2" t="n">
        <v>174</v>
      </c>
      <c r="F7" s="2" t="n">
        <v>62</v>
      </c>
      <c r="G7" s="2">
        <f>IFERROR(ROUND(F7/((E7/100)^2),1),"")</f>
        <v/>
      </c>
      <c r="H7" s="2" t="inlineStr">
        <is>
          <t>n</t>
        </is>
      </c>
      <c r="I7" s="2" t="inlineStr">
        <is>
          <t>n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middle</t>
        </is>
      </c>
      <c r="M7" s="2" t="inlineStr">
        <is>
          <t>right</t>
        </is>
      </c>
      <c r="N7" s="2" t="n">
        <v>124</v>
      </c>
      <c r="O7" s="2" t="n">
        <v>85</v>
      </c>
      <c r="P7" s="2" t="n">
        <v>130</v>
      </c>
      <c r="Q7" s="2" t="n">
        <v>82</v>
      </c>
      <c r="R7" s="2">
        <f>IFERROR(ROUND((N7+P7)/2,0),"")</f>
        <v/>
      </c>
      <c r="S7" s="2">
        <f>IFERROR(ROUND((O7+Q7)/2,0),"")</f>
        <v/>
      </c>
      <c r="T7" s="2" t="n">
        <v>123</v>
      </c>
      <c r="U7" s="2" t="n">
        <v>83</v>
      </c>
      <c r="V7" s="2" t="inlineStr">
        <is>
          <t>CH_1_20260429_162631.csv</t>
        </is>
      </c>
      <c r="W7" s="2" t="n">
        <v>691.7</v>
      </c>
      <c r="X7" s="2" t="n">
        <v>104</v>
      </c>
      <c r="Y7" s="2" t="n"/>
      <c r="Z7" s="2" t="inlineStr">
        <is>
          <t>Ngồi im khi do; ăn uống đầy đủ</t>
        </is>
      </c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5" t="n"/>
      <c r="AK7" s="5" t="inlineStr">
        <is>
          <t>A</t>
        </is>
      </c>
      <c r="AL7" s="5" t="inlineStr">
        <is>
          <t>Y</t>
        </is>
      </c>
      <c r="AM7" s="15" t="n"/>
      <c r="AN7" s="13" t="n">
        <v>1.47</v>
      </c>
      <c r="AO7" s="13" t="n"/>
      <c r="AP7" s="13" t="n"/>
      <c r="AQ7" s="13" t="n"/>
      <c r="AR7" s="13" t="n"/>
      <c r="AS7" t="inlineStr">
        <is>
          <t>Single-session BP reading per AHA 2017. NOT HTN diagnosis (requires multi-session sustained elevation).</t>
        </is>
      </c>
    </row>
    <row r="8">
      <c r="A8" s="2" t="inlineStr">
        <is>
          <t>S007</t>
        </is>
      </c>
      <c r="B8" s="2" t="inlineStr">
        <is>
          <t>2026-05-01</t>
        </is>
      </c>
      <c r="C8" s="2" t="n">
        <v>23</v>
      </c>
      <c r="D8" s="2" t="inlineStr">
        <is>
          <t>M</t>
        </is>
      </c>
      <c r="E8" s="2" t="n">
        <v>170</v>
      </c>
      <c r="F8" s="2" t="n">
        <v>63</v>
      </c>
      <c r="G8" s="2">
        <f>IFERROR(ROUND(F8/((E8/100)^2),1),"")</f>
        <v/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middle</t>
        </is>
      </c>
      <c r="M8" s="2" t="inlineStr">
        <is>
          <t>left</t>
        </is>
      </c>
      <c r="N8" s="2" t="n">
        <v>102</v>
      </c>
      <c r="O8" s="2" t="n">
        <v>67</v>
      </c>
      <c r="P8" s="2" t="n">
        <v>103</v>
      </c>
      <c r="Q8" s="2" t="n">
        <v>64</v>
      </c>
      <c r="R8" s="2">
        <f>IFERROR(ROUND((N8+P8)/2,0),"")</f>
        <v/>
      </c>
      <c r="S8" s="2">
        <f>IFERROR(ROUND((O8+Q8)/2,0),"")</f>
        <v/>
      </c>
      <c r="T8" s="2" t="n">
        <v>108</v>
      </c>
      <c r="U8" s="2" t="n">
        <v>67</v>
      </c>
      <c r="V8" s="2" t="inlineStr">
        <is>
          <t>DUy_01_20260501_103156.csv</t>
        </is>
      </c>
      <c r="W8" s="2" t="n">
        <v>374</v>
      </c>
      <c r="X8" s="2" t="n">
        <v>105</v>
      </c>
      <c r="Y8" s="2" t="n"/>
      <c r="Z8" s="2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5" t="n"/>
      <c r="AK8" s="5" t="inlineStr">
        <is>
          <t>A</t>
        </is>
      </c>
      <c r="AL8" s="5" t="inlineStr">
        <is>
          <t>Y</t>
        </is>
      </c>
      <c r="AM8" s="15" t="n"/>
      <c r="AN8" s="13" t="n">
        <v>1.56</v>
      </c>
      <c r="AO8" s="13" t="n"/>
      <c r="AP8" s="13" t="n"/>
      <c r="AQ8" s="13" t="n"/>
      <c r="AR8" s="13" t="n"/>
      <c r="AS8" t="inlineStr">
        <is>
          <t>Single-session BP reading per AHA 2017. NOT HTN diagnosis (requires multi-session sustained elevation).</t>
        </is>
      </c>
    </row>
    <row r="9">
      <c r="A9" s="2" t="inlineStr">
        <is>
          <t>S008</t>
        </is>
      </c>
      <c r="B9" s="2" t="inlineStr">
        <is>
          <t>2026-05-01</t>
        </is>
      </c>
      <c r="C9" s="2" t="n">
        <v>32</v>
      </c>
      <c r="D9" s="2" t="inlineStr">
        <is>
          <t>M</t>
        </is>
      </c>
      <c r="E9" s="2" t="n">
        <v>161</v>
      </c>
      <c r="F9" s="2" t="n">
        <v>63</v>
      </c>
      <c r="G9" s="2">
        <f>IFERROR(ROUND(F9/((E9/100)^2),1),"")</f>
        <v/>
      </c>
      <c r="H9" s="2" t="inlineStr">
        <is>
          <t>n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y</t>
        </is>
      </c>
      <c r="L9" s="2" t="inlineStr">
        <is>
          <t>index</t>
        </is>
      </c>
      <c r="M9" s="2" t="inlineStr">
        <is>
          <t>left</t>
        </is>
      </c>
      <c r="N9" s="2" t="n">
        <v>127</v>
      </c>
      <c r="O9" s="2" t="n">
        <v>75</v>
      </c>
      <c r="P9" s="2" t="n">
        <v>127</v>
      </c>
      <c r="Q9" s="2" t="n">
        <v>77</v>
      </c>
      <c r="R9" s="2">
        <f>IFERROR(ROUND((N9+P9)/2,0),"")</f>
        <v/>
      </c>
      <c r="S9" s="2">
        <f>IFERROR(ROUND((O9+Q9)/2,0),"")</f>
        <v/>
      </c>
      <c r="T9" s="2" t="n">
        <v>101</v>
      </c>
      <c r="U9" s="2" t="n">
        <v>79</v>
      </c>
      <c r="V9" s="2" t="inlineStr">
        <is>
          <t>Hung_01_20260501_175617.csv</t>
        </is>
      </c>
      <c r="W9" s="2" t="n">
        <v>274.1</v>
      </c>
      <c r="X9" s="2" t="n">
        <v>104</v>
      </c>
      <c r="Y9" s="2" t="inlineStr">
        <is>
          <t>Excellent — AC% IR = 24.92%, DC = 83,561 (in target)</t>
        </is>
      </c>
      <c r="Z9" s="2" t="inlineStr">
        <is>
          <t>Subject 32 tuổi, smoker. BP_post chênh -26 mmHg vs baseline (127→101) → có thể white-coat effect lần đầu. Cần re-measure session 2 với protocol v1.1 (3 readings, drop lần 1).</t>
        </is>
      </c>
      <c r="AA9" s="13" t="n"/>
      <c r="AB9" s="13" t="n"/>
      <c r="AC9" s="13" t="n"/>
      <c r="AD9" s="13" t="n"/>
      <c r="AE9" s="13" t="n"/>
      <c r="AF9" s="13" t="n"/>
      <c r="AG9" s="13" t="n"/>
      <c r="AH9" s="13" t="inlineStr">
        <is>
          <t>Elevated</t>
        </is>
      </c>
      <c r="AI9" s="13" t="n"/>
      <c r="AJ9" s="5" t="inlineStr">
        <is>
          <t>v1.0</t>
        </is>
      </c>
      <c r="AK9" s="5" t="inlineStr">
        <is>
          <t>A</t>
        </is>
      </c>
      <c r="AL9" s="5" t="inlineStr">
        <is>
          <t>Y</t>
        </is>
      </c>
      <c r="AM9" s="15" t="n"/>
      <c r="AN9" s="13" t="n">
        <v>24.92</v>
      </c>
      <c r="AO9" s="13" t="n"/>
      <c r="AP9" s="13" t="n"/>
      <c r="AQ9" s="13" t="n"/>
      <c r="AR9" s="13" t="n"/>
      <c r="AS9" t="inlineStr">
        <is>
          <t>Single-session BP reading per AHA 2017. NOT HTN diagnosis (requires multi-session sustained elevation).</t>
        </is>
      </c>
    </row>
    <row r="10">
      <c r="A10" s="2" t="inlineStr">
        <is>
          <t>S009</t>
        </is>
      </c>
      <c r="B10" s="2" t="inlineStr">
        <is>
          <t>2026-05-01</t>
        </is>
      </c>
      <c r="C10" s="2" t="n">
        <v>32</v>
      </c>
      <c r="D10" s="2" t="inlineStr">
        <is>
          <t>M</t>
        </is>
      </c>
      <c r="E10" s="2" t="n">
        <v>173</v>
      </c>
      <c r="F10" s="2" t="n">
        <v>78</v>
      </c>
      <c r="G10" s="2">
        <f>IFERROR(ROUND(F10/((E10/100)^2),1),"")</f>
        <v/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index</t>
        </is>
      </c>
      <c r="M10" s="2" t="inlineStr">
        <is>
          <t>left</t>
        </is>
      </c>
      <c r="N10" s="2" t="n">
        <v>111</v>
      </c>
      <c r="O10" s="2" t="n">
        <v>67</v>
      </c>
      <c r="P10" s="2" t="n">
        <v>111</v>
      </c>
      <c r="Q10" s="2" t="n">
        <v>78</v>
      </c>
      <c r="R10" s="2">
        <f>IFERROR(ROUND((N10+P10)/2,0),"")</f>
        <v/>
      </c>
      <c r="S10" s="2">
        <f>IFERROR(ROUND((O10+Q10)/2,0),"")</f>
        <v/>
      </c>
      <c r="T10" s="2" t="n">
        <v>115</v>
      </c>
      <c r="U10" s="2" t="n">
        <v>72</v>
      </c>
      <c r="V10" s="2" t="inlineStr">
        <is>
          <t>Huy_01_20260501_182144.csv</t>
        </is>
      </c>
      <c r="W10" s="2" t="n">
        <v>292.3</v>
      </c>
      <c r="X10" s="2" t="n">
        <v>105</v>
      </c>
      <c r="Y10" s="2" t="inlineStr">
        <is>
          <t>Excellent — AC% IR = 32.02% (kỷ lục dataset), DC = 83,149</t>
        </is>
      </c>
      <c r="Z10" s="2" t="inlineStr">
        <is>
          <t>Subject 32t, BMI 26.1 Overweight. BP stable 111/73→115/72 (chênh +4 OK). Cùng tuổi Hung_01 nhưng khác BMI/smoking/BP — pair stratify analysis ideal.</t>
        </is>
      </c>
      <c r="AA10" s="13" t="n"/>
      <c r="AB10" s="13" t="n"/>
      <c r="AC10" s="13" t="n"/>
      <c r="AD10" s="13" t="n"/>
      <c r="AE10" s="13" t="n"/>
      <c r="AF10" s="13" t="n"/>
      <c r="AG10" s="13" t="n"/>
      <c r="AH10" s="13" t="inlineStr">
        <is>
          <t>Normal</t>
        </is>
      </c>
      <c r="AI10" s="13" t="n"/>
      <c r="AJ10" s="5" t="inlineStr">
        <is>
          <t>v1.0</t>
        </is>
      </c>
      <c r="AK10" s="5" t="inlineStr">
        <is>
          <t>A</t>
        </is>
      </c>
      <c r="AL10" s="5" t="inlineStr">
        <is>
          <t>Y</t>
        </is>
      </c>
      <c r="AM10" s="15" t="n"/>
      <c r="AN10" s="13" t="n">
        <v>32.02</v>
      </c>
      <c r="AO10" s="13" t="n"/>
      <c r="AP10" s="13" t="n"/>
      <c r="AQ10" s="13" t="n"/>
      <c r="AR10" s="13" t="n"/>
      <c r="AS10" t="inlineStr">
        <is>
          <t>Single-session BP reading per AHA 2017. NOT HTN diagnosis (requires multi-session sustained elevation).</t>
        </is>
      </c>
    </row>
    <row r="11">
      <c r="A11" s="2" t="inlineStr">
        <is>
          <t>S010</t>
        </is>
      </c>
      <c r="B11" s="2" t="inlineStr">
        <is>
          <t>2026-05-01</t>
        </is>
      </c>
      <c r="C11" s="2" t="n">
        <v>19</v>
      </c>
      <c r="D11" s="2" t="inlineStr">
        <is>
          <t>M</t>
        </is>
      </c>
      <c r="E11" s="2" t="n">
        <v>170</v>
      </c>
      <c r="F11" s="2" t="n">
        <v>71</v>
      </c>
      <c r="G11" s="2">
        <f>IFERROR(ROUND(F11/((E11/100)^2),1),"")</f>
        <v/>
      </c>
      <c r="H11" s="2" t="inlineStr">
        <is>
          <t>n</t>
        </is>
      </c>
      <c r="I11" s="2" t="inlineStr">
        <is>
          <t>n</t>
        </is>
      </c>
      <c r="J11" s="2" t="inlineStr">
        <is>
          <t>n</t>
        </is>
      </c>
      <c r="K11" s="2" t="inlineStr">
        <is>
          <t>n</t>
        </is>
      </c>
      <c r="L11" s="2" t="inlineStr">
        <is>
          <t>index</t>
        </is>
      </c>
      <c r="M11" s="2" t="inlineStr">
        <is>
          <t>left</t>
        </is>
      </c>
      <c r="N11" s="2" t="n">
        <v>124</v>
      </c>
      <c r="O11" s="2" t="n">
        <v>72</v>
      </c>
      <c r="P11" s="2" t="n">
        <v>128</v>
      </c>
      <c r="Q11" s="2" t="n">
        <v>75</v>
      </c>
      <c r="R11" s="2">
        <f>IFERROR(ROUND((N11+P11)/2,0),"")</f>
        <v/>
      </c>
      <c r="S11" s="2">
        <f>IFERROR(ROUND((O11+Q11)/2,0),"")</f>
        <v/>
      </c>
      <c r="T11" s="2" t="n">
        <v>118</v>
      </c>
      <c r="U11" s="2" t="n">
        <v>75</v>
      </c>
      <c r="V11" s="2" t="inlineStr">
        <is>
          <t>Kin_01_20260501_184341.csv</t>
        </is>
      </c>
      <c r="W11" s="2" t="n">
        <v>291.3</v>
      </c>
      <c r="X11" s="2" t="n">
        <v>105</v>
      </c>
      <c r="Y11" s="2" t="inlineStr">
        <is>
          <t>Excellent — AC% IR = 5.31%, DC = 79,581 (borderline, dưới target 80k 0.5%)</t>
        </is>
      </c>
      <c r="Z11" s="2" t="inlineStr">
        <is>
          <t>Subject 19t M, BMI 24.6 Normal, no smoking. BP stable 124/72 → 118/75 (chênh -6 OK). Elevated category (SBP 120-129).</t>
        </is>
      </c>
      <c r="AA11" s="13" t="n"/>
      <c r="AB11" s="13" t="n"/>
      <c r="AC11" s="13" t="n"/>
      <c r="AD11" s="13" t="n"/>
      <c r="AE11" s="13" t="n"/>
      <c r="AF11" s="13" t="n"/>
      <c r="AG11" s="13" t="inlineStr"/>
      <c r="AH11" s="13" t="inlineStr">
        <is>
          <t>Elevated</t>
        </is>
      </c>
      <c r="AI11" s="13" t="n"/>
      <c r="AJ11" s="5" t="inlineStr">
        <is>
          <t>v1.0</t>
        </is>
      </c>
      <c r="AK11" s="5" t="inlineStr">
        <is>
          <t>A</t>
        </is>
      </c>
      <c r="AL11" s="5" t="inlineStr">
        <is>
          <t>Y</t>
        </is>
      </c>
      <c r="AM11" s="15" t="n"/>
      <c r="AN11" s="13" t="n">
        <v>5.31</v>
      </c>
      <c r="AO11" s="13" t="n"/>
      <c r="AP11" s="13" t="n"/>
      <c r="AQ11" s="13" t="n"/>
      <c r="AR11" s="13" t="n"/>
      <c r="AS11" t="inlineStr">
        <is>
          <t>Single-session BP reading per AHA 2017. NOT HTN diagnosis (requires multi-session sustained elevation).</t>
        </is>
      </c>
    </row>
    <row r="12">
      <c r="A12" s="2" t="inlineStr">
        <is>
          <t>S011</t>
        </is>
      </c>
      <c r="B12" s="2" t="inlineStr">
        <is>
          <t>2026-05-01</t>
        </is>
      </c>
      <c r="C12" s="2" t="n">
        <v>33</v>
      </c>
      <c r="D12" s="2" t="inlineStr">
        <is>
          <t>F</t>
        </is>
      </c>
      <c r="E12" s="2" t="n">
        <v>153</v>
      </c>
      <c r="F12" s="2" t="n">
        <v>43</v>
      </c>
      <c r="G12" s="2">
        <f>IFERROR(ROUND(F12/((E12/100)^2),1),"")</f>
        <v/>
      </c>
      <c r="H12" s="2" t="inlineStr">
        <is>
          <t>n</t>
        </is>
      </c>
      <c r="I12" s="2" t="inlineStr">
        <is>
          <t>n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middle</t>
        </is>
      </c>
      <c r="M12" s="2" t="inlineStr">
        <is>
          <t>left</t>
        </is>
      </c>
      <c r="N12" s="2" t="n">
        <v>96</v>
      </c>
      <c r="O12" s="2" t="n">
        <v>70</v>
      </c>
      <c r="P12" s="2" t="n">
        <v>96</v>
      </c>
      <c r="Q12" s="2" t="n">
        <v>69</v>
      </c>
      <c r="R12" s="2">
        <f>IFERROR(ROUND((N12+P12)/2,0),"")</f>
        <v/>
      </c>
      <c r="S12" s="2">
        <f>IFERROR(ROUND((O12+Q12)/2,0),"")</f>
        <v/>
      </c>
      <c r="T12" s="2" t="n">
        <v>90</v>
      </c>
      <c r="U12" s="2" t="n">
        <v>67</v>
      </c>
      <c r="V12" s="2" t="inlineStr">
        <is>
          <t>tram_01_20260501_190404_cleaned.csv</t>
        </is>
      </c>
      <c r="W12" s="2" t="n">
        <v>279</v>
      </c>
      <c r="X12" s="2" t="n">
        <v>111</v>
      </c>
      <c r="Y12" s="2" t="inlineStr">
        <is>
          <t>Original file có 6 ESP32 disconnects (12-29s gaps, 92.5s dead time). Cleaned via clean_gap_csv.py: 31000 samples, 279s clean @ 111Hz. AC% raw = 14.05%.</t>
        </is>
      </c>
      <c r="Z12" s="2" t="inlineStr">
        <is>
          <t>Subject 33t Female (NỮ THỨ 2 dataset!), BMI 18.4 Underweight. 3 attempts do ESP32 disconnect: cTram_01 (159s partial), Tram_01 (67s partial), tram_01 (full 60 batches, dùng cleaned). BP stable 96/70 → 90/67.</t>
        </is>
      </c>
      <c r="AA12" s="13" t="n"/>
      <c r="AB12" s="13" t="n"/>
      <c r="AC12" s="13" t="n"/>
      <c r="AD12" s="13" t="n"/>
      <c r="AE12" s="13" t="n"/>
      <c r="AF12" s="13" t="n"/>
      <c r="AG12" s="13" t="n"/>
      <c r="AH12" s="13" t="inlineStr">
        <is>
          <t>Normal</t>
        </is>
      </c>
      <c r="AI12" s="13" t="n"/>
      <c r="AJ12" s="5" t="inlineStr">
        <is>
          <t>v1.0</t>
        </is>
      </c>
      <c r="AK12" s="5" t="inlineStr">
        <is>
          <t>B</t>
        </is>
      </c>
      <c r="AL12" s="5" t="inlineStr">
        <is>
          <t>Y</t>
        </is>
      </c>
      <c r="AM12" s="15" t="inlineStr">
        <is>
          <t>6 ESP32 disconnects, dead time 92.5s/389s = 24%. Cleaned version dùng được.</t>
        </is>
      </c>
      <c r="AN12" s="13" t="n">
        <v>14.05</v>
      </c>
      <c r="AO12" s="13" t="n"/>
      <c r="AP12" s="13" t="n"/>
      <c r="AQ12" s="13" t="n"/>
      <c r="AR12" s="13" t="n"/>
      <c r="AS12" t="inlineStr">
        <is>
          <t>Single-session BP reading per AHA 2017. NOT HTN diagnosis (requires multi-session sustained elevation).</t>
        </is>
      </c>
    </row>
    <row r="13">
      <c r="A13" s="2" t="inlineStr">
        <is>
          <t>S012</t>
        </is>
      </c>
      <c r="B13" s="2" t="inlineStr">
        <is>
          <t>2026-05-01</t>
        </is>
      </c>
      <c r="C13" s="2" t="n">
        <v>45</v>
      </c>
      <c r="D13" s="2" t="inlineStr">
        <is>
          <t>F</t>
        </is>
      </c>
      <c r="E13" s="2" t="n">
        <v>150</v>
      </c>
      <c r="F13" s="2" t="n">
        <v>62</v>
      </c>
      <c r="G13" s="2">
        <f>IFERROR(ROUND(F13/((E13/100)^2),1),"")</f>
        <v/>
      </c>
      <c r="H13" s="2" t="inlineStr">
        <is>
          <t>n</t>
        </is>
      </c>
      <c r="I13" s="2" t="inlineStr">
        <is>
          <t>n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index</t>
        </is>
      </c>
      <c r="M13" s="2" t="inlineStr">
        <is>
          <t>left</t>
        </is>
      </c>
      <c r="N13" s="2" t="n">
        <v>115</v>
      </c>
      <c r="O13" s="2" t="n">
        <v>80</v>
      </c>
      <c r="P13" s="2" t="n"/>
      <c r="Q13" s="2" t="n"/>
      <c r="R13" s="2">
        <f>IFERROR(ROUND((N13+P13)/2,0),"")</f>
        <v/>
      </c>
      <c r="S13" s="2">
        <f>IFERROR(ROUND((O13+Q13)/2,0),"")</f>
        <v/>
      </c>
      <c r="T13" s="2" t="n">
        <v>127</v>
      </c>
      <c r="U13" s="2" t="n">
        <v>88</v>
      </c>
      <c r="V13" s="2" t="inlineStr">
        <is>
          <t>coBa_01_20260501_195111.csv</t>
        </is>
      </c>
      <c r="W13" s="2" t="n">
        <v>298.1</v>
      </c>
      <c r="X13" s="2" t="n">
        <v>104</v>
      </c>
      <c r="Y13" s="2" t="inlineStr">
        <is>
          <t>Excellent — AC% IR 14.03%, DC 80316 (in target). 0 disconnects, no cleaning needed.</t>
        </is>
      </c>
      <c r="Z13" s="2" t="inlineStr">
        <is>
          <t>Subject 45t F (FIRST ≥40t!), BMI 27.6 Overweight. Stage 1 HTN measured (DBP 80-88). BP chênh baseline→post: +12 SBP/+8 DBP (borderline, &lt; 15 threshold). Mean(115,127)=121 / Mean(80,88)=84 dùng làm label. Quan trọng nhất dataset: fill 3 gaps cùng lúc (HTN + Female + ≥40t).</t>
        </is>
      </c>
      <c r="AA13" s="13" t="n"/>
      <c r="AB13" s="13" t="n"/>
      <c r="AC13" s="13" t="n"/>
      <c r="AD13" s="13" t="n"/>
      <c r="AE13" s="13" t="n"/>
      <c r="AF13" s="13" t="n"/>
      <c r="AG13" s="13" t="n"/>
      <c r="AH13" s="13" t="inlineStr">
        <is>
          <t>Stage 1 HTN</t>
        </is>
      </c>
      <c r="AI13" s="13" t="n"/>
      <c r="AJ13" s="5" t="inlineStr">
        <is>
          <t>v1.0</t>
        </is>
      </c>
      <c r="AK13" s="5" t="inlineStr">
        <is>
          <t>A</t>
        </is>
      </c>
      <c r="AL13" s="5" t="inlineStr">
        <is>
          <t>Y</t>
        </is>
      </c>
      <c r="AM13" s="15" t="n"/>
      <c r="AN13" s="13" t="n">
        <v>14.03</v>
      </c>
      <c r="AO13" s="13" t="n"/>
      <c r="AP13" s="13" t="n"/>
      <c r="AQ13" s="13" t="n"/>
      <c r="AR13" s="13" t="n"/>
      <c r="AS13" t="inlineStr">
        <is>
          <t>Single-session BP reading per AHA 2017. NOT HTN diagnosis (requires multi-session sustained elevation).</t>
        </is>
      </c>
    </row>
    <row r="14">
      <c r="A14" s="2" t="inlineStr">
        <is>
          <t>S013</t>
        </is>
      </c>
      <c r="B14" s="8" t="n">
        <v>46147</v>
      </c>
      <c r="C14" s="2" t="n">
        <v>32</v>
      </c>
      <c r="D14" s="2" t="inlineStr">
        <is>
          <t>M</t>
        </is>
      </c>
      <c r="E14" s="2" t="n">
        <v>170</v>
      </c>
      <c r="F14" s="2" t="n">
        <v>75</v>
      </c>
      <c r="G14" s="2" t="n">
        <v>26</v>
      </c>
      <c r="H14" s="2" t="inlineStr">
        <is>
          <t>n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index</t>
        </is>
      </c>
      <c r="M14" s="2" t="inlineStr">
        <is>
          <t>right</t>
        </is>
      </c>
      <c r="N14" s="2" t="n">
        <v>126</v>
      </c>
      <c r="O14" s="2" t="n">
        <v>96</v>
      </c>
      <c r="P14" s="2" t="n">
        <v>128</v>
      </c>
      <c r="Q14" s="2" t="n">
        <v>94</v>
      </c>
      <c r="R14" s="2" t="n">
        <v>127</v>
      </c>
      <c r="S14" s="2" t="n">
        <v>95</v>
      </c>
      <c r="T14" s="2" t="n">
        <v>126</v>
      </c>
      <c r="U14" s="2" t="n">
        <v>93</v>
      </c>
      <c r="V14" s="2" t="inlineStr">
        <is>
          <t>Viet_01_20260505_194040.csv</t>
        </is>
      </c>
      <c r="W14" s="2" t="n">
        <v>306.1</v>
      </c>
      <c r="X14" s="2" t="n">
        <v>100</v>
      </c>
      <c r="Y14" s="2" t="inlineStr">
        <is>
          <t>5min full session. WiFi/upload stall mid-session: 7 gaps total dead time 72s (22.4%). clean_gap_csv concat 8 segments + boundary trim 700 samples → 30614 samples @ 100Hz, 306.1s effective. Cleaned: Viet_01_20260505_194040_cleaned.csv. fs_real intra-segment 100Hz exact. Pred SBP 106.00 / DBP 70.80 (errors -21.0/-24.2 vs cuff). Pred raw≈cleaned (signal robust).</t>
        </is>
      </c>
      <c r="Z14" s="2" t="inlineStr">
        <is>
          <t>Stage 2 HTN subject — FIRST in dataset (was 0%). Contralateral protocol CONFIRMED (cuff right + index finger LEFT) per user 2026-05-05. Note: opposite direction to user default (cuff left + trỏ right) — cả 2 đều contralateral hợp lệ. Metadata finger originally typo "middle" → corrected to "index" in CSV header + here. WiFi/upload stall is firmware uploadQueue (10-batch buffer) limitation, not data quality issue. ML errors -21/-24 expected for out-of-distribution Stage 2 HTN trên model degenerate (Moulaeifard 2025 baseline ~18-25 mmHg).</t>
        </is>
      </c>
      <c r="AA14" s="13" t="n"/>
      <c r="AB14" s="13" t="n"/>
      <c r="AC14" s="13" t="n"/>
      <c r="AD14" s="13" t="n"/>
      <c r="AE14" s="13" t="n"/>
      <c r="AF14" s="13" t="n"/>
      <c r="AG14" s="13" t="n"/>
      <c r="AH14" s="13" t="inlineStr">
        <is>
          <t>Stage 2 HTN</t>
        </is>
      </c>
      <c r="AI14" s="13" t="n"/>
      <c r="AJ14" s="5" t="inlineStr">
        <is>
          <t>v1.1</t>
        </is>
      </c>
      <c r="AK14" s="5" t="inlineStr">
        <is>
          <t>B</t>
        </is>
      </c>
      <c r="AL14" s="5" t="inlineStr">
        <is>
          <t>Y</t>
        </is>
      </c>
      <c r="AM14" s="15" t="inlineStr">
        <is>
          <t>WiFi/upload stall 7 gaps mid-session (22.4% dead time, recovered via clean_gap_csv concat). 306s effective &gt; 120s protocol min. fs 100Hz exact post-bug-fix.</t>
        </is>
      </c>
      <c r="AN14" s="13" t="n"/>
      <c r="AO14" s="13" t="n"/>
      <c r="AP14" s="13" t="n"/>
      <c r="AQ14" s="13" t="n"/>
      <c r="AR14" s="13" t="n"/>
      <c r="AS14" t="inlineStr">
        <is>
          <t>Single-session BP reading per AHA 2017. NOT HTN diagnosis (requires multi-session sustained elevation).</t>
        </is>
      </c>
    </row>
    <row r="15">
      <c r="A15" s="2" t="inlineStr">
        <is>
          <t>S014</t>
        </is>
      </c>
      <c r="B15" s="8" t="n">
        <v>46147</v>
      </c>
      <c r="C15" s="2" t="n">
        <v>37</v>
      </c>
      <c r="D15" s="2" t="inlineStr">
        <is>
          <t>F</t>
        </is>
      </c>
      <c r="E15" s="2" t="n">
        <v>157</v>
      </c>
      <c r="F15" s="2" t="n">
        <v>52</v>
      </c>
      <c r="G15" s="2" t="n">
        <v>21.1</v>
      </c>
      <c r="H15" s="2" t="inlineStr">
        <is>
          <t>n</t>
        </is>
      </c>
      <c r="I15" s="2" t="inlineStr">
        <is>
          <t>n</t>
        </is>
      </c>
      <c r="J15" s="2" t="inlineStr">
        <is>
          <t>n</t>
        </is>
      </c>
      <c r="K15" s="2" t="inlineStr">
        <is>
          <t>n</t>
        </is>
      </c>
      <c r="L15" s="2" t="inlineStr">
        <is>
          <t>index</t>
        </is>
      </c>
      <c r="M15" s="2" t="inlineStr">
        <is>
          <t>left</t>
        </is>
      </c>
      <c r="N15" s="2" t="n">
        <v>108</v>
      </c>
      <c r="O15" s="2" t="n">
        <v>70</v>
      </c>
      <c r="P15" s="2" t="n">
        <v>101</v>
      </c>
      <c r="Q15" s="2" t="n">
        <v>64</v>
      </c>
      <c r="R15" s="2" t="n">
        <v>104.5</v>
      </c>
      <c r="S15" s="2" t="n">
        <v>67</v>
      </c>
      <c r="T15" s="2" t="n">
        <v>100</v>
      </c>
      <c r="U15" s="2" t="n">
        <v>73</v>
      </c>
      <c r="V15" s="2" t="inlineStr">
        <is>
          <t>_archived_protocol_violation/Phuong_01_20260505_195608.csv</t>
        </is>
      </c>
      <c r="W15" s="2" t="n">
        <v>304</v>
      </c>
      <c r="X15" s="2" t="n">
        <v>100</v>
      </c>
      <c r="Y15" s="2" t="inlineStr">
        <is>
          <t>5min full session. 1 disconnect 11.9s at batch 49 (3.9% dead time) + LED auto-recalibration after disconnect (RED DC +8.6%, ratio R/IR 0.967→1.031). clean_gap_csv concat 2 segments → 30400 samples @ 100Hz, 304.0s. POST-only pred SBP 126.20 vs PRE-only 117.00 (Δ +9.2 mmHg shift due to LED change). Cleaned ≈ PRE pred (PRE 82% sample weight). Pred SBP 116.80 / DBP 73.90 (errors +12.8/+6.9 vs cuff).</t>
        </is>
      </c>
      <c r="Z15" s="2" t="inlineStr">
        <is>
          <t>PROTOCOL VIOLATION same-arm (cuff TRÁI + ngón trỏ TRÁI) — confirmed by user 2026-05-05. Reactive hyperemia post-cuff may confound PPG amplitude/morphology in first 1-2 min. EXCLUDED from training (training_eligible=N). Files ARCHIVED to collected_data/_archived_protocol_violation/. Action: re-recruit Phuong session 1 with contralateral protocol (cuff right + finger left). Female ≥30 demographic value (rare, only 2/14 unique training subjects: coBa 45F + Phuong 37F). LED recalib mid-session quantified +9.2 mmHg shift PRE vs POST — bằng chứng features không hoàn toàn LED-invariant.</t>
        </is>
      </c>
      <c r="AA15" s="13" t="n"/>
      <c r="AB15" s="13" t="n"/>
      <c r="AC15" s="13" t="n"/>
      <c r="AD15" s="13" t="n"/>
      <c r="AE15" s="13" t="n"/>
      <c r="AF15" s="13" t="n"/>
      <c r="AG15" s="13" t="n"/>
      <c r="AH15" s="13" t="inlineStr">
        <is>
          <t>Normal</t>
        </is>
      </c>
      <c r="AI15" s="13" t="n"/>
      <c r="AJ15" s="5" t="inlineStr">
        <is>
          <t>v1.1</t>
        </is>
      </c>
      <c r="AK15" s="5" t="inlineStr">
        <is>
          <t>C</t>
        </is>
      </c>
      <c r="AL15" s="5" t="inlineStr">
        <is>
          <t>N</t>
        </is>
      </c>
      <c r="AM15" s="15" t="inlineStr">
        <is>
          <t>Same-arm protocol violation (cuff left + index finger left). Methodological flaw not recoverable by signal cleaning. Excluded from training. Re-recruit needed contralateral. Files archived 2026-05-05.</t>
        </is>
      </c>
      <c r="AN15" s="13" t="n"/>
      <c r="AO15" s="13" t="n"/>
      <c r="AP15" s="13" t="n"/>
      <c r="AQ15" s="13" t="n"/>
      <c r="AR15" s="13" t="n"/>
      <c r="AS15" t="inlineStr">
        <is>
          <t>Single-session BP reading per AHA 2017. NOT HTN diagnosis (requires multi-session sustained elevation).</t>
        </is>
      </c>
    </row>
    <row r="16">
      <c r="A16" s="2" t="inlineStr">
        <is>
          <t>S015</t>
        </is>
      </c>
      <c r="B16" s="2" t="inlineStr">
        <is>
          <t>2026-05-03</t>
        </is>
      </c>
      <c r="C16" s="2" t="n">
        <v>19</v>
      </c>
      <c r="D16" s="2" t="inlineStr">
        <is>
          <t>F</t>
        </is>
      </c>
      <c r="E16" s="2" t="n">
        <v>152</v>
      </c>
      <c r="F16" s="2" t="n">
        <v>45</v>
      </c>
      <c r="G16" s="2">
        <f>IFERROR(ROUND(F16/((E16/100)^2),1),"")</f>
        <v/>
      </c>
      <c r="H16" s="2" t="inlineStr">
        <is>
          <t>n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index</t>
        </is>
      </c>
      <c r="M16" s="2" t="inlineStr">
        <is>
          <t>left</t>
        </is>
      </c>
      <c r="N16" s="2" t="n">
        <v>87</v>
      </c>
      <c r="O16" s="2" t="n">
        <v>60</v>
      </c>
      <c r="P16" s="2" t="n">
        <v>94</v>
      </c>
      <c r="Q16" s="2" t="n">
        <v>57</v>
      </c>
      <c r="R16" s="2">
        <f>IFERROR(ROUND((N16+P16)/2,0),"")</f>
        <v/>
      </c>
      <c r="S16" s="2">
        <f>IFERROR(ROUND((O16+Q16)/2,0),"")</f>
        <v/>
      </c>
      <c r="T16" s="2" t="n">
        <v>93</v>
      </c>
      <c r="U16" s="2" t="n">
        <v>62</v>
      </c>
      <c r="V16" s="2" t="inlineStr">
        <is>
          <t>Minh_02_20260503_153026.csv</t>
        </is>
      </c>
      <c r="W16" s="2" t="n">
        <v>304.7</v>
      </c>
      <c r="X16" s="2" t="n">
        <v>100</v>
      </c>
      <c r="Y16" s="2" t="inlineStr">
        <is>
          <t>Session 2 (3/5). 2 network hiccups (~11s each, total 22.5s) cleaned. Post-clean: 304.7s @ 100Hz, AC% IR 32.09% (great improvement vs S1 13.49%). DC stable 86458 throughout — finger never lifted. Cleaned file: Minh_02_*_cleaned.csv</t>
        </is>
      </c>
      <c r="Z16" s="2" t="inlineStr">
        <is>
          <t>Session 2 of Minh (S005). Cách session 1 (29/4) 4 ngày, cùng khung giờ ~15:00 ✓ protocol v1.1. BP drop S1→S2: -5 SBP, -12 DBP (96/71→91/59) ⇒ borderline hypotensive. Subject technique improved (AC% 2.4× better). Network 2 hiccups handled by firmware queue. FIRST session 2 in dataset → critical for testing per-subject calibration cross-session.</t>
        </is>
      </c>
      <c r="AA16" s="13" t="n"/>
      <c r="AB16" s="13" t="n"/>
      <c r="AC16" s="13" t="n"/>
      <c r="AD16" s="13" t="n"/>
      <c r="AE16" s="13" t="n"/>
      <c r="AF16" s="13" t="n"/>
      <c r="AG16" s="13" t="n"/>
      <c r="AH16" s="13" t="inlineStr">
        <is>
          <t>Normal</t>
        </is>
      </c>
      <c r="AI16" s="13" t="n"/>
      <c r="AJ16" s="5" t="inlineStr">
        <is>
          <t>v1.1</t>
        </is>
      </c>
      <c r="AK16" s="5" t="inlineStr">
        <is>
          <t>B</t>
        </is>
      </c>
      <c r="AL16" s="5" t="inlineStr">
        <is>
          <t>Y</t>
        </is>
      </c>
      <c r="AM16" s="15" t="inlineStr">
        <is>
          <t>2 network hiccups ~11s, cleaned to 304.7s continuous. 8% gap (vs 25% Sub_3 accepted).</t>
        </is>
      </c>
      <c r="AN16" s="13" t="n">
        <v>32.09</v>
      </c>
      <c r="AO16" s="13" t="n"/>
      <c r="AP16" s="13" t="n"/>
      <c r="AQ16" s="13" t="n"/>
      <c r="AR16" s="13" t="n"/>
      <c r="AS16" t="inlineStr">
        <is>
          <t>Single-session BP reading per AHA 2017. NOT HTN diagnosis (requires multi-session sustained elevation).</t>
        </is>
      </c>
    </row>
    <row r="17">
      <c r="A17" s="2" t="inlineStr">
        <is>
          <t>S016</t>
        </is>
      </c>
      <c r="B17" s="9" t="inlineStr">
        <is>
          <t>2026-05-03</t>
        </is>
      </c>
      <c r="C17" s="9" t="n">
        <v>19</v>
      </c>
      <c r="D17" s="9" t="inlineStr">
        <is>
          <t>M</t>
        </is>
      </c>
      <c r="E17" s="9" t="n">
        <v>167</v>
      </c>
      <c r="F17" s="9" t="n">
        <v>62</v>
      </c>
      <c r="G17" s="9">
        <f>IFERROR(ROUND(F17/((E17/100)^2),1),"")</f>
        <v/>
      </c>
      <c r="H17" s="9" t="inlineStr">
        <is>
          <t>n</t>
        </is>
      </c>
      <c r="I17" s="9" t="inlineStr">
        <is>
          <t>n</t>
        </is>
      </c>
      <c r="J17" s="9" t="inlineStr">
        <is>
          <t>n</t>
        </is>
      </c>
      <c r="K17" s="9" t="inlineStr">
        <is>
          <t>n</t>
        </is>
      </c>
      <c r="L17" s="9" t="inlineStr">
        <is>
          <t>index</t>
        </is>
      </c>
      <c r="M17" s="9" t="inlineStr">
        <is>
          <t>left</t>
        </is>
      </c>
      <c r="N17" s="9" t="n">
        <v>111</v>
      </c>
      <c r="O17" s="9" t="n">
        <v>77</v>
      </c>
      <c r="P17" s="9" t="n">
        <v>110</v>
      </c>
      <c r="Q17" s="9" t="n">
        <v>73</v>
      </c>
      <c r="R17" s="9">
        <f>IFERROR(ROUND((N17+P17)/2,0),"")</f>
        <v/>
      </c>
      <c r="S17" s="9">
        <f>IFERROR(ROUND((O17+Q17)/2,0),"")</f>
        <v/>
      </c>
      <c r="T17" s="9" t="n">
        <v>118</v>
      </c>
      <c r="U17" s="9" t="n">
        <v>75</v>
      </c>
      <c r="V17" s="9" t="inlineStr">
        <is>
          <t>Sub_3_02_20260503_155516.csv</t>
        </is>
      </c>
      <c r="W17" s="9" t="n">
        <v>292.6</v>
      </c>
      <c r="X17" s="9" t="n">
        <v>100</v>
      </c>
      <c r="Y17" s="9" t="inlineStr">
        <is>
          <t>Session 2 (3/5) — CLEAN signal: 0 disconnects, AC% IR 6.98%, DC 80865 (in target). fs_median=100Hz exact (sensor đúng nominal, không drift 111Hz như session 1). KHÔNG cần clean_gap_csv.</t>
        </is>
      </c>
      <c r="Z17" s="9" t="inlineStr">
        <is>
          <t>Session 2 of Sub_3 (S006). Cách session 1 (29/4 15:08) 4 ngày, khung giờ 15:55 ✓ protocol v1.1. BP DROP S1→S2 (Stage 1 HTN→Normal): SBP 124→111 (-13), DBP 81→75 (-6). Có thể stress/anxiety effect lần đầu. Mean(baseline,post): SBP 114.5, DBP 75 → Elevated. Signal session 2 cleaner hẳn (S1 có 8 disconnects 100s dead, S2 không gap nào).</t>
        </is>
      </c>
      <c r="AH17" t="inlineStr">
        <is>
          <t>Normal</t>
        </is>
      </c>
      <c r="AJ17" s="18" t="inlineStr">
        <is>
          <t>v1.1</t>
        </is>
      </c>
      <c r="AK17" s="18" t="inlineStr">
        <is>
          <t>A</t>
        </is>
      </c>
      <c r="AL17" s="18" t="inlineStr">
        <is>
          <t>Y</t>
        </is>
      </c>
      <c r="AN17" t="n">
        <v>6.98</v>
      </c>
      <c r="AS17" t="inlineStr">
        <is>
          <t>Single-session BP reading per AHA 2017. NOT HTN diagnosis (requires multi-session sustained elevation).</t>
        </is>
      </c>
    </row>
    <row r="18" ht="15.6" customHeight="1">
      <c r="A18" s="2" t="inlineStr">
        <is>
          <t>S017</t>
        </is>
      </c>
      <c r="B18" s="10" t="n">
        <v>46147</v>
      </c>
      <c r="C18" s="5" t="n">
        <v>23</v>
      </c>
      <c r="D18" s="5" t="inlineStr">
        <is>
          <t>M</t>
        </is>
      </c>
      <c r="E18" s="5" t="n">
        <v>182</v>
      </c>
      <c r="F18" s="5" t="n">
        <v>68</v>
      </c>
      <c r="G18" s="5" t="n">
        <v>20.5</v>
      </c>
      <c r="H18" s="5" t="inlineStr">
        <is>
          <t>n</t>
        </is>
      </c>
      <c r="I18" s="5" t="inlineStr">
        <is>
          <t>n</t>
        </is>
      </c>
      <c r="J18" s="5" t="inlineStr">
        <is>
          <t>n</t>
        </is>
      </c>
      <c r="K18" s="5" t="inlineStr">
        <is>
          <t>n</t>
        </is>
      </c>
      <c r="L18" s="5" t="inlineStr">
        <is>
          <t>index</t>
        </is>
      </c>
      <c r="M18" s="5" t="inlineStr">
        <is>
          <t>left</t>
        </is>
      </c>
      <c r="N18" s="5" t="n">
        <v>105</v>
      </c>
      <c r="O18" s="5" t="n">
        <v>67</v>
      </c>
      <c r="P18" s="5" t="n"/>
      <c r="Q18" s="5" t="n"/>
      <c r="R18" s="5" t="n">
        <v>105</v>
      </c>
      <c r="S18" s="5" t="n">
        <v>67</v>
      </c>
      <c r="T18" s="5" t="n">
        <v>109</v>
      </c>
      <c r="U18" s="5" t="n">
        <v>76</v>
      </c>
      <c r="V18" s="5" t="inlineStr">
        <is>
          <t>Danh_02_20260505_190801.csv</t>
        </is>
      </c>
      <c r="W18" s="5" t="n">
        <v>292.6</v>
      </c>
      <c r="X18" s="5" t="n">
        <v>100</v>
      </c>
      <c r="Y18" s="5" t="inlineStr">
        <is>
          <t>5min full session. fs_real=100.00Hz EXACT (drift 0.0% — first file post timestamp truncation bug fix log_ppg_local.py:211). NO disconnects (&gt;1s gaps). clean_gap_csv: no cleaning needed. IR mean 75780, RED mean 79772. HR pred 85.5 BPM. Pred SBP 106.50 / DBP 70.30 (errors +1.50/+3.30 vs cuff baseline 105/67) — AAMI compliant on single point. FIRST file with 100Hz exact timestamps — all prior 13 self-collected files had fs_real=111Hz drift due to old bug.</t>
        </is>
      </c>
      <c r="Z18" s="5" t="inlineStr">
        <is>
          <t>Session 2 of Danh (S001). Cách session 1 (29/4 5am) 6 ngày, khung giờ shifted 5am→7pm (DIFFERENT time of day, protocol v1.1 prefers same time ±1h — limitation). BP very stable cross-session: S1 106/70, S2 105/67 (Δ -1/-3 mmHg, within Omron ±3 noise). Cross-session pred test: pred S1=107.5/71.5, pred S2=106.5/70.3 (Δpred -1.0/-1.2) → CONSISTENT direction with cuff Δ; per-subject calibration offset will be reliable. Contralateral protocol CONFIRMED (cuff left + index finger RIGHT) — user default 2026-05-05. Third session 2 in dataset (after S005-2 Minh, S006-2 Sub_3).</t>
        </is>
      </c>
      <c r="AA18" s="5" t="n"/>
      <c r="AB18" s="5" t="n"/>
      <c r="AC18" s="5" t="n"/>
      <c r="AD18" s="5" t="n"/>
      <c r="AE18" s="5" t="n"/>
      <c r="AF18" s="5" t="n"/>
      <c r="AG18" s="5" t="n"/>
      <c r="AH18" s="5" t="inlineStr">
        <is>
          <t>Normal</t>
        </is>
      </c>
      <c r="AI18" s="5" t="n"/>
      <c r="AJ18" s="5" t="inlineStr">
        <is>
          <t>v1.1</t>
        </is>
      </c>
      <c r="AK18" s="5" t="inlineStr">
        <is>
          <t>A</t>
        </is>
      </c>
      <c r="AL18" s="5" t="inlineStr">
        <is>
          <t>Y</t>
        </is>
      </c>
      <c r="AM18" s="15" t="n"/>
      <c r="AN18" s="5" t="n"/>
      <c r="AO18" s="5" t="n"/>
      <c r="AP18" s="5" t="n"/>
      <c r="AQ18" s="5" t="n"/>
      <c r="AR18" s="5" t="n"/>
      <c r="AS18" t="inlineStr">
        <is>
          <t>Single-session BP reading per AHA 2017. NOT HTN diagnosis (requires multi-session sustained elevation).</t>
        </is>
      </c>
    </row>
    <row r="19">
      <c r="A19" s="2" t="inlineStr">
        <is>
          <t>S018</t>
        </is>
      </c>
      <c r="B19" s="12" t="n">
        <v>46147</v>
      </c>
      <c r="C19" s="11" t="n">
        <v>37</v>
      </c>
      <c r="D19" s="11" t="inlineStr">
        <is>
          <t>F</t>
        </is>
      </c>
      <c r="E19" s="11" t="n">
        <v>157</v>
      </c>
      <c r="F19" s="11" t="n">
        <v>52</v>
      </c>
      <c r="G19" s="11" t="n">
        <v>21.1</v>
      </c>
      <c r="H19" s="11" t="inlineStr">
        <is>
          <t>n</t>
        </is>
      </c>
      <c r="I19" s="11" t="inlineStr">
        <is>
          <t>n</t>
        </is>
      </c>
      <c r="J19" s="11" t="inlineStr">
        <is>
          <t>n</t>
        </is>
      </c>
      <c r="K19" s="11" t="inlineStr">
        <is>
          <t>n</t>
        </is>
      </c>
      <c r="L19" s="11" t="inlineStr">
        <is>
          <t>index</t>
        </is>
      </c>
      <c r="M19" s="11" t="inlineStr">
        <is>
          <t>left</t>
        </is>
      </c>
      <c r="N19" s="9" t="n">
        <v>100</v>
      </c>
      <c r="O19" s="9" t="n">
        <v>66</v>
      </c>
      <c r="P19" s="9" t="n">
        <v>102</v>
      </c>
      <c r="Q19" s="9" t="n">
        <v>68</v>
      </c>
      <c r="R19" s="9">
        <f>IFERROR(ROUND((N19+P19)/2,0),"")</f>
        <v/>
      </c>
      <c r="S19" s="11" t="n">
        <v>67</v>
      </c>
      <c r="T19" s="11" t="n">
        <v>97</v>
      </c>
      <c r="U19" s="11" t="n">
        <v>74</v>
      </c>
      <c r="V19" s="11" t="inlineStr">
        <is>
          <t>Phuong_01v2_20260505_214139.csv</t>
        </is>
      </c>
      <c r="W19" s="11" t="n">
        <v>288.8</v>
      </c>
      <c r="X19" s="11" t="n">
        <v>100</v>
      </c>
      <c r="Y19" s="11" t="inlineStr">
        <is>
          <t>CLEANEST file in dataset to-date. fs_real=100.00Hz EXACT, 0 disconnects, only 3 small gaps (&gt;100ms) at batch boundaries. NO LED auto-recalibration mid-session (smooth Q1→Q4 R/IR drift 0.969→0.960 = -1% over 5min, no abrupt jump). IR mean 87712, RED mean 84552 (higher DC than archived S030: IR 79850, RED 78131). HR pred 82.4 BPM. Pred SBP 109.50 / DBP 70.30 (errors +8.50/+3.30 vs cuff baseline 101/67). Cleaning: not needed.</t>
        </is>
      </c>
      <c r="Z19" s="11" t="inlineStr">
        <is>
          <t>RE-RECORDING of Phuong_01 session 1 (S030 ARCHIVED for same-arm protocol violation). Contralateral protocol CONFIRMED per user 2026-05-05: cuff TRÁI + index finger TAY PHẢI (user default). Metadata finger initially typo "middle" → corrected to "index" in CSV header + here. THESIS-RELEVANT: Same subject same evening (S030 19:56 vs S015 21:41, ~1h45m apart) — cuff BP nearly identical (S030 104/67→101/67 baseline, Δ -3 SBP within Omron noise). PRED SBP shifted from 116.80 (same-arm S030) to 109.50 (contralateral S015) = Δ -7.30 mmHg. Quantifies REACTIVE HYPEREMIA BIAS contribution to PPG-based BP estimation when same-arm protocol used. Strong evidence for thesis Limitations citing AHA 2017 / ARMS Trial 2024 contralateral requirement. Female ≥30 demographic value preserved.</t>
        </is>
      </c>
      <c r="AA19" s="11" t="n"/>
      <c r="AB19" s="11" t="n"/>
      <c r="AC19" s="11" t="n"/>
      <c r="AD19" s="11" t="n"/>
      <c r="AE19" s="11" t="n"/>
      <c r="AF19" s="11" t="n"/>
      <c r="AG19" s="11" t="n"/>
      <c r="AH19" s="11" t="inlineStr">
        <is>
          <t>Normal</t>
        </is>
      </c>
      <c r="AI19" s="11" t="n"/>
      <c r="AJ19" s="11" t="inlineStr">
        <is>
          <t>v1.1</t>
        </is>
      </c>
      <c r="AK19" s="11" t="inlineStr">
        <is>
          <t>A</t>
        </is>
      </c>
      <c r="AL19" s="11" t="inlineStr">
        <is>
          <t>Y</t>
        </is>
      </c>
      <c r="AM19" s="17" t="n"/>
      <c r="AN19" s="11" t="n"/>
      <c r="AO19" s="11" t="n"/>
      <c r="AP19" s="11" t="n"/>
      <c r="AQ19" s="11" t="n"/>
      <c r="AR19" s="11" t="n"/>
      <c r="AS19" t="inlineStr">
        <is>
          <t>Single-session BP reading per AHA 2017. NOT HTN diagnosis (requires multi-session sustained elevation).</t>
        </is>
      </c>
    </row>
    <row r="20">
      <c r="A20" s="2" t="inlineStr">
        <is>
          <t>S019</t>
        </is>
      </c>
      <c r="B20" s="5" t="inlineStr">
        <is>
          <t>2026-05-06</t>
        </is>
      </c>
      <c r="C20" s="5" t="n">
        <v>51</v>
      </c>
      <c r="D20" s="5" t="inlineStr">
        <is>
          <t>M</t>
        </is>
      </c>
      <c r="E20" s="5" t="n">
        <v>168</v>
      </c>
      <c r="F20" s="5" t="n">
        <v>70</v>
      </c>
      <c r="G20" s="5" t="n">
        <v>24.8</v>
      </c>
      <c r="H20" s="5" t="inlineStr">
        <is>
          <t>y</t>
        </is>
      </c>
      <c r="I20" s="5" t="inlineStr">
        <is>
          <t>y</t>
        </is>
      </c>
      <c r="J20" s="5" t="inlineStr">
        <is>
          <t>n</t>
        </is>
      </c>
      <c r="K20" s="5" t="inlineStr">
        <is>
          <t>n</t>
        </is>
      </c>
      <c r="L20" s="5" t="inlineStr">
        <is>
          <t>index</t>
        </is>
      </c>
      <c r="M20" s="5" t="inlineStr">
        <is>
          <t>left</t>
        </is>
      </c>
      <c r="N20" s="5" t="n"/>
      <c r="O20" s="5" t="n"/>
      <c r="P20" s="5" t="n"/>
      <c r="Q20" s="5" t="n"/>
      <c r="R20" s="5" t="n">
        <v>134</v>
      </c>
      <c r="S20" s="5" t="n">
        <v>93</v>
      </c>
      <c r="T20" s="5" t="n">
        <v>136</v>
      </c>
      <c r="U20" s="5" t="n">
        <v>90</v>
      </c>
      <c r="V20" s="5" t="inlineStr">
        <is>
          <t>Triet_01_20260506_182107_stripped_cleaned.csv</t>
        </is>
      </c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inlineStr">
        <is>
          <t>Stage 2 HTN</t>
        </is>
      </c>
      <c r="AI20" s="5" t="n"/>
      <c r="AJ20" s="5" t="inlineStr">
        <is>
          <t>v1.1</t>
        </is>
      </c>
      <c r="AK20" s="5" t="inlineStr">
        <is>
          <t>B</t>
        </is>
      </c>
      <c r="AL20" s="5" t="inlineStr">
        <is>
          <t>Y</t>
        </is>
      </c>
      <c r="AM20" s="15" t="inlineStr">
        <is>
          <t>low_perfusion_index_PI_0.34pct</t>
        </is>
      </c>
      <c r="AN20" s="5" t="n"/>
      <c r="AO20" s="5" t="n"/>
      <c r="AP20" s="5" t="n"/>
      <c r="AQ20" s="5" t="n"/>
      <c r="AR20" s="5" t="n"/>
      <c r="AS20" t="inlineStr">
        <is>
          <t>Single-session BP reading per AHA 2017. NOT HTN diagnosis (requires multi-session sustained elevation).</t>
        </is>
      </c>
    </row>
    <row r="21">
      <c r="A21" s="2" t="inlineStr">
        <is>
          <t>S020</t>
        </is>
      </c>
      <c r="B21" s="5" t="inlineStr">
        <is>
          <t>2026-05-06</t>
        </is>
      </c>
      <c r="C21" s="5" t="n">
        <v>48</v>
      </c>
      <c r="D21" s="5" t="inlineStr">
        <is>
          <t>F</t>
        </is>
      </c>
      <c r="E21" s="5" t="n">
        <v>162</v>
      </c>
      <c r="F21" s="5" t="n">
        <v>66</v>
      </c>
      <c r="G21" s="5" t="n">
        <v>25.1</v>
      </c>
      <c r="H21" s="5" t="inlineStr">
        <is>
          <t>n</t>
        </is>
      </c>
      <c r="I21" s="5" t="inlineStr">
        <is>
          <t>n</t>
        </is>
      </c>
      <c r="J21" s="5" t="inlineStr">
        <is>
          <t>n</t>
        </is>
      </c>
      <c r="K21" s="5" t="inlineStr">
        <is>
          <t>n</t>
        </is>
      </c>
      <c r="L21" s="5" t="inlineStr">
        <is>
          <t>index</t>
        </is>
      </c>
      <c r="M21" s="5" t="inlineStr">
        <is>
          <t>left</t>
        </is>
      </c>
      <c r="N21" s="5" t="n"/>
      <c r="O21" s="5" t="n"/>
      <c r="P21" s="5" t="n"/>
      <c r="Q21" s="5" t="n"/>
      <c r="R21" s="5" t="n">
        <v>135</v>
      </c>
      <c r="S21" s="5" t="n">
        <v>89</v>
      </c>
      <c r="T21" s="5" t="n">
        <v>142</v>
      </c>
      <c r="U21" s="5" t="n">
        <v>92</v>
      </c>
      <c r="V21" s="5" t="inlineStr">
        <is>
          <t>Trang_20260506_183827_stripped_cleaned.csv</t>
        </is>
      </c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inlineStr">
        <is>
          <t>Stage 1 HTN</t>
        </is>
      </c>
      <c r="AI21" s="5" t="n"/>
      <c r="AJ21" s="5" t="inlineStr">
        <is>
          <t>v1.1</t>
        </is>
      </c>
      <c r="AK21" s="5" t="inlineStr">
        <is>
          <t>B</t>
        </is>
      </c>
      <c r="AL21" s="5" t="inlineStr">
        <is>
          <t>Y</t>
        </is>
      </c>
      <c r="AM21" s="15" t="inlineStr">
        <is>
          <t>low_PI_0.36pct;ac_healthy;regression_to_mean_err_-23.7_SBP</t>
        </is>
      </c>
      <c r="AN21" s="5" t="n"/>
      <c r="AO21" s="5" t="n"/>
      <c r="AP21" s="5" t="n"/>
      <c r="AQ21" s="5" t="n"/>
      <c r="AR21" s="5" t="n"/>
      <c r="AS21" t="inlineStr">
        <is>
          <t>Single-session BP reading per AHA 2017. NOT HTN diagnosis (requires multi-session sustained elevation).</t>
        </is>
      </c>
    </row>
    <row r="22">
      <c r="A22" s="2" t="inlineStr">
        <is>
          <t>S021</t>
        </is>
      </c>
      <c r="B22" s="11" t="inlineStr">
        <is>
          <t>2026-05-07</t>
        </is>
      </c>
      <c r="C22" s="11" t="n">
        <v>23</v>
      </c>
      <c r="D22" s="11" t="inlineStr">
        <is>
          <t>M</t>
        </is>
      </c>
      <c r="E22" s="11" t="n">
        <v>162</v>
      </c>
      <c r="F22" s="11" t="n">
        <v>60</v>
      </c>
      <c r="G22" s="11" t="n">
        <v>22.9</v>
      </c>
      <c r="H22" s="11" t="inlineStr">
        <is>
          <t>n</t>
        </is>
      </c>
      <c r="I22" s="11" t="inlineStr">
        <is>
          <t>n</t>
        </is>
      </c>
      <c r="J22" s="11" t="inlineStr">
        <is>
          <t>n</t>
        </is>
      </c>
      <c r="K22" s="11" t="inlineStr">
        <is>
          <t>y</t>
        </is>
      </c>
      <c r="L22" s="11" t="inlineStr">
        <is>
          <t>index</t>
        </is>
      </c>
      <c r="M22" s="11" t="inlineStr">
        <is>
          <t>left</t>
        </is>
      </c>
      <c r="N22" s="11" t="n"/>
      <c r="O22" s="11" t="n"/>
      <c r="P22" s="11" t="n"/>
      <c r="Q22" s="11" t="n"/>
      <c r="R22" s="11" t="n">
        <v>100</v>
      </c>
      <c r="S22" s="11" t="n">
        <v>63</v>
      </c>
      <c r="T22" s="11" t="n">
        <v>103</v>
      </c>
      <c r="U22" s="11" t="n">
        <v>57</v>
      </c>
      <c r="V22" s="11" t="inlineStr">
        <is>
          <t>Quoc_02_20260507_152350_cleaned.csv</t>
        </is>
      </c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inlineStr">
        <is>
          <t>Normal</t>
        </is>
      </c>
      <c r="AI22" s="11" t="n"/>
      <c r="AJ22" s="11" t="inlineStr">
        <is>
          <t>v1.1</t>
        </is>
      </c>
      <c r="AK22" s="11" t="inlineStr">
        <is>
          <t>A</t>
        </is>
      </c>
      <c r="AL22" s="11" t="inlineStr">
        <is>
          <t>Y</t>
        </is>
      </c>
      <c r="AM22" s="17" t="inlineStr">
        <is>
          <t>clean_post_K_fix_fs100Hz_exact_drift_session_2</t>
        </is>
      </c>
      <c r="AN22" s="11" t="n"/>
      <c r="AO22" s="11" t="n"/>
      <c r="AP22" s="11" t="n"/>
      <c r="AQ22" s="11" t="n"/>
      <c r="AR22" s="11" t="n"/>
      <c r="AS22" t="inlineStr">
        <is>
          <t>Single-session BP reading per AHA 2017. NOT HTN diagnosis (requires multi-session sustained elevation).</t>
        </is>
      </c>
    </row>
    <row r="23">
      <c r="A23" s="2" t="inlineStr">
        <is>
          <t>S022</t>
        </is>
      </c>
      <c r="B23" s="5" t="inlineStr">
        <is>
          <t>2026-05-08</t>
        </is>
      </c>
      <c r="C23" s="5" t="n">
        <v>23</v>
      </c>
      <c r="D23" s="5" t="inlineStr">
        <is>
          <t>M</t>
        </is>
      </c>
      <c r="E23" s="5" t="n">
        <v>182</v>
      </c>
      <c r="F23" s="5" t="n">
        <v>68</v>
      </c>
      <c r="G23" s="5" t="n">
        <v>20.5</v>
      </c>
      <c r="H23" s="5" t="inlineStr">
        <is>
          <t>n</t>
        </is>
      </c>
      <c r="I23" s="5" t="inlineStr">
        <is>
          <t>n</t>
        </is>
      </c>
      <c r="J23" s="5" t="inlineStr">
        <is>
          <t>n</t>
        </is>
      </c>
      <c r="K23" s="5" t="inlineStr">
        <is>
          <t>n</t>
        </is>
      </c>
      <c r="L23" s="5" t="inlineStr">
        <is>
          <t>index</t>
        </is>
      </c>
      <c r="M23" s="5" t="inlineStr">
        <is>
          <t>left</t>
        </is>
      </c>
      <c r="N23" s="2" t="n"/>
      <c r="O23" s="2" t="n"/>
      <c r="P23" s="2" t="n"/>
      <c r="Q23" s="2" t="n"/>
      <c r="R23" s="5" t="n">
        <v>103</v>
      </c>
      <c r="S23" s="5" t="n">
        <v>71</v>
      </c>
      <c r="T23" s="5" t="n">
        <v>113</v>
      </c>
      <c r="U23" s="5" t="n">
        <v>79</v>
      </c>
      <c r="V23" s="5" t="inlineStr">
        <is>
          <t>Danh_04_20260508_063934_cleaned.csv</t>
        </is>
      </c>
      <c r="W23" s="5" t="n">
        <v>305</v>
      </c>
      <c r="X23" s="5" t="n">
        <v>100</v>
      </c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inlineStr">
        <is>
          <t>Normal</t>
        </is>
      </c>
      <c r="AI23" s="5" t="n"/>
      <c r="AJ23" s="5" t="inlineStr">
        <is>
          <t>v1.1</t>
        </is>
      </c>
      <c r="AK23" s="5" t="inlineStr">
        <is>
          <t>A</t>
        </is>
      </c>
      <c r="AL23" s="5" t="inlineStr">
        <is>
          <t>Y</t>
        </is>
      </c>
      <c r="AM23" s="15" t="inlineStr">
        <is>
          <t>2_batch_led_recalib_stripped_drift_session_4_fs100Hz_exact</t>
        </is>
      </c>
      <c r="AN23" s="5" t="n"/>
      <c r="AO23" s="5" t="n"/>
      <c r="AP23" s="5" t="n"/>
      <c r="AQ23" s="5" t="n"/>
      <c r="AR23" s="5" t="n"/>
      <c r="AS23" t="inlineStr">
        <is>
          <t>Single-session BP reading per AHA 2017. NOT HTN diagnosis (requires multi-session sustained elevation).</t>
        </is>
      </c>
    </row>
    <row r="24">
      <c r="A24" s="2" t="inlineStr">
        <is>
          <t>S023</t>
        </is>
      </c>
      <c r="B24" s="5" t="inlineStr">
        <is>
          <t>2026-05-08</t>
        </is>
      </c>
      <c r="C24" s="5" t="n">
        <v>23</v>
      </c>
      <c r="D24" s="5" t="inlineStr">
        <is>
          <t>M</t>
        </is>
      </c>
      <c r="E24" s="5" t="n">
        <v>174</v>
      </c>
      <c r="F24" s="5" t="n">
        <v>62</v>
      </c>
      <c r="G24" s="5" t="n">
        <v>20.5</v>
      </c>
      <c r="H24" s="5" t="inlineStr">
        <is>
          <t>n</t>
        </is>
      </c>
      <c r="I24" s="5" t="inlineStr">
        <is>
          <t>n</t>
        </is>
      </c>
      <c r="J24" s="5" t="inlineStr">
        <is>
          <t>n</t>
        </is>
      </c>
      <c r="K24" s="5" t="inlineStr">
        <is>
          <t>n</t>
        </is>
      </c>
      <c r="L24" s="5" t="inlineStr">
        <is>
          <t>index</t>
        </is>
      </c>
      <c r="M24" s="5" t="inlineStr">
        <is>
          <t>left</t>
        </is>
      </c>
      <c r="N24" s="5" t="n"/>
      <c r="O24" s="5" t="n"/>
      <c r="P24" s="5" t="n"/>
      <c r="Q24" s="5" t="n"/>
      <c r="R24" s="5" t="n">
        <v>112</v>
      </c>
      <c r="S24" s="5" t="n">
        <v>78</v>
      </c>
      <c r="T24" s="5" t="n">
        <v>111</v>
      </c>
      <c r="U24" s="5" t="n">
        <v>78</v>
      </c>
      <c r="V24" s="5" t="inlineStr">
        <is>
          <t>CH_20260508_134606_cleaned.csv</t>
        </is>
      </c>
      <c r="W24" s="5" t="n">
        <v>283</v>
      </c>
      <c r="X24" s="5" t="n">
        <v>100</v>
      </c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inlineStr">
        <is>
          <t>Normal</t>
        </is>
      </c>
      <c r="AI24" s="5" t="n"/>
      <c r="AJ24" s="5" t="inlineStr">
        <is>
          <t>v1.1</t>
        </is>
      </c>
      <c r="AK24" s="5" t="inlineStr">
        <is>
          <t>A</t>
        </is>
      </c>
      <c r="AL24" s="5" t="inlineStr">
        <is>
          <t>Y</t>
        </is>
      </c>
      <c r="AM24" s="15" t="inlineStr">
        <is>
          <t>5_batch_led_recalib_stripped_drift_session_2_BP_DROP_127_to_112_white_coat_S1</t>
        </is>
      </c>
      <c r="AN24" s="5" t="n"/>
      <c r="AO24" s="5" t="n"/>
      <c r="AP24" s="5" t="n"/>
      <c r="AQ24" s="5" t="n"/>
      <c r="AR24" s="5" t="n"/>
      <c r="AS24" t="inlineStr">
        <is>
          <t>Single-session BP reading per AHA 2017. NOT HTN diagnosis (requires multi-session sustained elevation).</t>
        </is>
      </c>
    </row>
    <row r="25">
      <c r="A25" s="2" t="inlineStr">
        <is>
          <t>S024</t>
        </is>
      </c>
      <c r="B25" s="5" t="inlineStr">
        <is>
          <t>2026-05-08</t>
        </is>
      </c>
      <c r="C25" s="5" t="n">
        <v>23</v>
      </c>
      <c r="D25" s="5" t="inlineStr">
        <is>
          <t>M</t>
        </is>
      </c>
      <c r="E25" s="5" t="n">
        <v>170</v>
      </c>
      <c r="F25" s="5" t="n">
        <v>64</v>
      </c>
      <c r="G25" s="5" t="n">
        <v>22.1</v>
      </c>
      <c r="H25" s="5" t="inlineStr">
        <is>
          <t>n</t>
        </is>
      </c>
      <c r="I25" s="5" t="inlineStr">
        <is>
          <t>n</t>
        </is>
      </c>
      <c r="J25" s="5" t="inlineStr">
        <is>
          <t>n</t>
        </is>
      </c>
      <c r="K25" s="5" t="inlineStr">
        <is>
          <t>n</t>
        </is>
      </c>
      <c r="L25" s="5" t="inlineStr">
        <is>
          <t>index</t>
        </is>
      </c>
      <c r="M25" s="5" t="inlineStr">
        <is>
          <t>left</t>
        </is>
      </c>
      <c r="N25" s="2" t="n">
        <v>103</v>
      </c>
      <c r="O25" s="2" t="n">
        <v>70</v>
      </c>
      <c r="P25" s="2" t="n">
        <v>103</v>
      </c>
      <c r="Q25" s="2" t="n">
        <v>76</v>
      </c>
      <c r="R25" s="5" t="n">
        <v>103</v>
      </c>
      <c r="S25" s="5" t="n">
        <v>73</v>
      </c>
      <c r="T25" s="5" t="n">
        <v>99</v>
      </c>
      <c r="U25" s="5" t="n">
        <v>64</v>
      </c>
      <c r="V25" s="5" t="inlineStr">
        <is>
          <t>DUy_20260508_191456_cleaned.csv</t>
        </is>
      </c>
      <c r="W25" s="5" t="n">
        <v>260.9</v>
      </c>
      <c r="X25" s="5" t="n">
        <v>100</v>
      </c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inlineStr">
        <is>
          <t>Normal</t>
        </is>
      </c>
      <c r="AI25" s="5" t="n"/>
      <c r="AJ25" s="5" t="inlineStr">
        <is>
          <t>v1.1</t>
        </is>
      </c>
      <c r="AK25" s="5" t="inlineStr">
        <is>
          <t>A</t>
        </is>
      </c>
      <c r="AL25" s="5" t="inlineStr">
        <is>
          <t>Y</t>
        </is>
      </c>
      <c r="AM25" s="15" t="inlineStr">
        <is>
          <t>5_batch_led_recalib_stripped_drift_session_2_S3_used_S2_archived_white_coat_pre113_post105_S3_pre103_matches_S1_anchor</t>
        </is>
      </c>
      <c r="AN25" s="5" t="n"/>
      <c r="AO25" s="5" t="n"/>
      <c r="AP25" s="5" t="n"/>
      <c r="AQ25" s="5" t="n"/>
      <c r="AR25" s="5" t="n"/>
      <c r="AS25" t="inlineStr">
        <is>
          <t>Single-session BP reading per AHA 2017. NOT HTN diagnosis (requires multi-session sustained elevation).</t>
        </is>
      </c>
    </row>
    <row r="26">
      <c r="A26" s="2" t="inlineStr">
        <is>
          <t>S025</t>
        </is>
      </c>
      <c r="B26" s="5" t="inlineStr">
        <is>
          <t>2026-05-08</t>
        </is>
      </c>
      <c r="C26" s="5" t="n">
        <v>32</v>
      </c>
      <c r="D26" s="5" t="inlineStr">
        <is>
          <t>M</t>
        </is>
      </c>
      <c r="E26" s="5" t="n">
        <v>173</v>
      </c>
      <c r="F26" s="5" t="n">
        <v>78</v>
      </c>
      <c r="G26" s="5" t="n">
        <v>26.1</v>
      </c>
      <c r="H26" s="5" t="inlineStr">
        <is>
          <t>n</t>
        </is>
      </c>
      <c r="I26" s="5" t="inlineStr">
        <is>
          <t>n</t>
        </is>
      </c>
      <c r="J26" s="5" t="inlineStr">
        <is>
          <t>n</t>
        </is>
      </c>
      <c r="K26" s="5" t="inlineStr">
        <is>
          <t>n</t>
        </is>
      </c>
      <c r="L26" s="5" t="inlineStr">
        <is>
          <t>index</t>
        </is>
      </c>
      <c r="M26" s="5" t="inlineStr">
        <is>
          <t>left</t>
        </is>
      </c>
      <c r="N26" s="2" t="n">
        <v>126</v>
      </c>
      <c r="O26" s="2" t="n">
        <v>74</v>
      </c>
      <c r="P26" s="2" t="n">
        <v>131</v>
      </c>
      <c r="Q26" s="2" t="n">
        <v>80</v>
      </c>
      <c r="R26" s="5" t="n">
        <v>129</v>
      </c>
      <c r="S26" s="5" t="n">
        <v>77</v>
      </c>
      <c r="T26" s="5" t="n">
        <v>129</v>
      </c>
      <c r="U26" s="5" t="n">
        <v>75</v>
      </c>
      <c r="V26" s="5" t="inlineStr">
        <is>
          <t>Huy_20260508_205239_cleaned.csv</t>
        </is>
      </c>
      <c r="W26" s="5" t="n">
        <v>296</v>
      </c>
      <c r="X26" s="5" t="n">
        <v>100</v>
      </c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inlineStr">
        <is>
          <t>Elevated</t>
        </is>
      </c>
      <c r="AI26" s="5" t="n"/>
      <c r="AJ26" s="5" t="inlineStr">
        <is>
          <t>v1.1</t>
        </is>
      </c>
      <c r="AK26" s="5" t="inlineStr">
        <is>
          <t>A</t>
        </is>
      </c>
      <c r="AL26" s="5" t="inlineStr">
        <is>
          <t>Y</t>
        </is>
      </c>
      <c r="AM26" s="15" t="inlineStr">
        <is>
          <t>led_recalib_same_intensity_4_disconnects_cleaned_22pct_dead_time_genuine_BP_rise_S1_111_to_S2_129_pre_eq_post_NOT_white_coat</t>
        </is>
      </c>
      <c r="AN26" s="5" t="n"/>
      <c r="AO26" s="5" t="n"/>
      <c r="AP26" s="5" t="n"/>
      <c r="AQ26" s="5" t="n"/>
      <c r="AR26" s="5" t="n"/>
      <c r="AS26" t="inlineStr">
        <is>
          <t>Single-session BP reading per AHA 2017. NOT HTN diagnosis (requires multi-session sustained elevation).</t>
        </is>
      </c>
    </row>
    <row r="27">
      <c r="A27" s="2" t="inlineStr">
        <is>
          <t>S026</t>
        </is>
      </c>
      <c r="B27" s="11" t="inlineStr">
        <is>
          <t>2026-05-08</t>
        </is>
      </c>
      <c r="C27" s="11" t="n">
        <v>37</v>
      </c>
      <c r="D27" s="11" t="inlineStr">
        <is>
          <t>F</t>
        </is>
      </c>
      <c r="E27" s="11" t="n">
        <v>157</v>
      </c>
      <c r="F27" s="11" t="n">
        <v>52</v>
      </c>
      <c r="G27" s="11" t="n">
        <v>21.1</v>
      </c>
      <c r="H27" s="11" t="inlineStr">
        <is>
          <t>n</t>
        </is>
      </c>
      <c r="I27" s="11" t="inlineStr">
        <is>
          <t>n</t>
        </is>
      </c>
      <c r="J27" s="11" t="inlineStr">
        <is>
          <t>n</t>
        </is>
      </c>
      <c r="K27" s="11" t="inlineStr">
        <is>
          <t>n</t>
        </is>
      </c>
      <c r="L27" s="11" t="inlineStr">
        <is>
          <t>index</t>
        </is>
      </c>
      <c r="M27" s="11" t="inlineStr">
        <is>
          <t>left</t>
        </is>
      </c>
      <c r="N27" s="9" t="n">
        <v>102</v>
      </c>
      <c r="O27" s="9" t="n">
        <v>64</v>
      </c>
      <c r="P27" s="9" t="n">
        <v>92</v>
      </c>
      <c r="Q27" s="9" t="n">
        <v>61</v>
      </c>
      <c r="R27" s="9">
        <f>IFERROR(ROUND((N27+P27)/2,0),"")</f>
        <v/>
      </c>
      <c r="S27" s="9">
        <f>IFERROR(ROUND((O27+Q27)/2,0),"")</f>
        <v/>
      </c>
      <c r="T27" s="11" t="n">
        <v>97</v>
      </c>
      <c r="U27" s="11" t="n">
        <v>63</v>
      </c>
      <c r="V27" s="11" t="inlineStr">
        <is>
          <t>Phuong_20260508_211411_cleaned.csv</t>
        </is>
      </c>
      <c r="W27" s="11" t="n">
        <v>269.5</v>
      </c>
      <c r="X27" s="11" t="n">
        <v>100</v>
      </c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inlineStr">
        <is>
          <t>Normal</t>
        </is>
      </c>
      <c r="AI27" s="11" t="n"/>
      <c r="AJ27" s="11" t="inlineStr">
        <is>
          <t>v1.1</t>
        </is>
      </c>
      <c r="AK27" s="11" t="inlineStr">
        <is>
          <t>A</t>
        </is>
      </c>
      <c r="AL27" s="11" t="inlineStr">
        <is>
          <t>Y</t>
        </is>
      </c>
      <c r="AM27" s="17" t="inlineStr">
        <is>
          <t>5_batch_led_recalib_stripped_drift_session_2_stable_BP_pre_eq_post_short_gap_2.98d_SpO2_R_below_0.4_threshold_14pct_valid</t>
        </is>
      </c>
      <c r="AN27" s="11" t="n"/>
      <c r="AO27" s="11" t="n"/>
      <c r="AP27" s="11" t="n"/>
      <c r="AQ27" s="11" t="n"/>
      <c r="AR27" s="11" t="n"/>
      <c r="AS27" t="inlineStr">
        <is>
          <t>Single-session BP reading per AHA 2017. NOT HTN diagnosis (requires multi-session sustained elevation).</t>
        </is>
      </c>
    </row>
    <row r="28" customFormat="1" s="5">
      <c r="A28" s="2" t="inlineStr">
        <is>
          <t>S027</t>
        </is>
      </c>
      <c r="B28" s="5" t="inlineStr">
        <is>
          <t>2026-05-10</t>
        </is>
      </c>
      <c r="C28" s="5" t="n">
        <v>23</v>
      </c>
      <c r="D28" s="5" t="inlineStr">
        <is>
          <t>M</t>
        </is>
      </c>
      <c r="E28" s="5" t="n">
        <v>174</v>
      </c>
      <c r="F28" s="5" t="n">
        <v>62</v>
      </c>
      <c r="G28" s="5" t="n">
        <v>20.5</v>
      </c>
      <c r="H28" s="5" t="inlineStr">
        <is>
          <t>n</t>
        </is>
      </c>
      <c r="I28" s="5" t="inlineStr">
        <is>
          <t>n</t>
        </is>
      </c>
      <c r="J28" s="5" t="inlineStr">
        <is>
          <t>n</t>
        </is>
      </c>
      <c r="K28" s="5" t="inlineStr">
        <is>
          <t>n</t>
        </is>
      </c>
      <c r="L28" s="5" t="inlineStr">
        <is>
          <t>index</t>
        </is>
      </c>
      <c r="M28" s="5" t="inlineStr">
        <is>
          <t>left</t>
        </is>
      </c>
      <c r="R28" s="2" t="n">
        <v>123</v>
      </c>
      <c r="S28" s="2" t="n">
        <v>75</v>
      </c>
      <c r="T28" s="5" t="n">
        <v>128</v>
      </c>
      <c r="U28" s="5" t="n">
        <v>75</v>
      </c>
      <c r="V28" s="5" t="inlineStr">
        <is>
          <t>CH_20260510_151202_cleaned.csv</t>
        </is>
      </c>
      <c r="W28" s="5" t="n">
        <v>271.5</v>
      </c>
      <c r="X28" s="5" t="n">
        <v>100</v>
      </c>
      <c r="AH28" s="5" t="inlineStr">
        <is>
          <t>Elevated</t>
        </is>
      </c>
      <c r="AJ28" s="5" t="inlineStr">
        <is>
          <t>v1.1</t>
        </is>
      </c>
      <c r="AK28" s="5" t="inlineStr">
        <is>
          <t>A</t>
        </is>
      </c>
      <c r="AL28" s="5" t="inlineStr">
        <is>
          <t>Y</t>
        </is>
      </c>
      <c r="AM28" s="5" t="inlineStr">
        <is>
          <t>5_batch_led_recalib_stripped_drift_session_3_BP_variability_S1_127_S2_112_S3_123_NOT_white_coat_averaged_anchor_breakthrough_SBP_drift_0.58_mmHg</t>
        </is>
      </c>
      <c r="AS28" s="5" t="inlineStr">
        <is>
          <t>Single-session BP reading per AHA 2017. NOT HTN diagnosis (requires multi-session sustained elevation).</t>
        </is>
      </c>
    </row>
    <row r="29" customFormat="1" s="5">
      <c r="A29" s="2" t="inlineStr">
        <is>
          <t>S028</t>
        </is>
      </c>
      <c r="B29" s="5" t="inlineStr">
        <is>
          <t>2026-05-11</t>
        </is>
      </c>
      <c r="C29" s="5" t="n">
        <v>51</v>
      </c>
      <c r="D29" s="5" t="inlineStr">
        <is>
          <t>M</t>
        </is>
      </c>
      <c r="E29" s="5" t="n">
        <v>168</v>
      </c>
      <c r="F29" s="5" t="n">
        <v>70</v>
      </c>
      <c r="G29" s="5" t="n">
        <v>24.8</v>
      </c>
      <c r="H29" s="5" t="inlineStr">
        <is>
          <t>y</t>
        </is>
      </c>
      <c r="I29" s="5" t="inlineStr">
        <is>
          <t>y</t>
        </is>
      </c>
      <c r="J29" s="5" t="inlineStr">
        <is>
          <t>n</t>
        </is>
      </c>
      <c r="K29" s="5" t="inlineStr">
        <is>
          <t>n</t>
        </is>
      </c>
      <c r="L29" s="5" t="inlineStr">
        <is>
          <t>index</t>
        </is>
      </c>
      <c r="M29" s="5" t="inlineStr">
        <is>
          <t>left</t>
        </is>
      </c>
      <c r="R29" s="2" t="n">
        <v>130</v>
      </c>
      <c r="S29" s="2" t="n">
        <v>86</v>
      </c>
      <c r="T29" s="5" t="n">
        <v>131</v>
      </c>
      <c r="U29" s="5" t="n">
        <v>93</v>
      </c>
      <c r="V29" s="5" t="inlineStr">
        <is>
          <t>Triet_02_20260511_191356_stripped_cleaned.csv</t>
        </is>
      </c>
      <c r="W29" s="5" t="n">
        <v>268.7</v>
      </c>
      <c r="X29" s="5" t="n">
        <v>100</v>
      </c>
      <c r="Y29" s="5" t="inlineStr">
        <is>
          <t>Tier 1 recruit S2; no disconnects; fs=100 exact post-strip</t>
        </is>
      </c>
      <c r="Z29" s="5" t="inlineStr">
        <is>
          <t>Sustained Stage 1 reading S1(134/93 Stage2)-&gt;S2(130/86 Stage1), DBP drop -7 mmHg</t>
        </is>
      </c>
      <c r="AH29" s="5" t="inlineStr">
        <is>
          <t>Stage 1 reading</t>
        </is>
      </c>
      <c r="AJ29" s="5" t="inlineStr">
        <is>
          <t>v1.1</t>
        </is>
      </c>
      <c r="AK29" s="5" t="inlineStr">
        <is>
          <t>B</t>
        </is>
      </c>
      <c r="AL29" s="5" t="inlineStr">
        <is>
          <t>Y</t>
        </is>
      </c>
      <c r="AM29" s="5" t="inlineStr">
        <is>
          <t>Low PI expected (S1 had 0.34%)</t>
        </is>
      </c>
      <c r="AS29" s="5" t="inlineStr">
        <is>
          <t>Single-session BP reading per AHA 2017. NOT HTN diagnosis (requires multi-session sustained elevation across days).</t>
        </is>
      </c>
    </row>
    <row r="30" customFormat="1" s="5">
      <c r="A30" s="2" t="inlineStr">
        <is>
          <t>S029</t>
        </is>
      </c>
      <c r="B30" s="5" t="inlineStr">
        <is>
          <t>2026-05-11</t>
        </is>
      </c>
      <c r="C30" s="5" t="n">
        <v>48</v>
      </c>
      <c r="D30" s="5" t="inlineStr">
        <is>
          <t>F</t>
        </is>
      </c>
      <c r="E30" s="5" t="n">
        <v>162</v>
      </c>
      <c r="F30" s="5" t="n">
        <v>66</v>
      </c>
      <c r="G30" s="5" t="n">
        <v>25.1</v>
      </c>
      <c r="H30" s="5" t="inlineStr">
        <is>
          <t>n</t>
        </is>
      </c>
      <c r="I30" s="5" t="inlineStr">
        <is>
          <t>n</t>
        </is>
      </c>
      <c r="J30" s="5" t="inlineStr">
        <is>
          <t>n</t>
        </is>
      </c>
      <c r="K30" s="5" t="inlineStr">
        <is>
          <t>n</t>
        </is>
      </c>
      <c r="L30" s="5" t="inlineStr">
        <is>
          <t>index</t>
        </is>
      </c>
      <c r="M30" s="5" t="inlineStr">
        <is>
          <t>left</t>
        </is>
      </c>
      <c r="R30" s="2" t="n">
        <v>132</v>
      </c>
      <c r="S30" s="2" t="n">
        <v>88</v>
      </c>
      <c r="T30" s="5" t="n">
        <v>137</v>
      </c>
      <c r="U30" s="5" t="n">
        <v>96</v>
      </c>
      <c r="V30" s="5" t="inlineStr">
        <is>
          <t>Trang_20260511_193148_stripped_cleaned.csv</t>
        </is>
      </c>
      <c r="W30" s="5" t="n">
        <v>271</v>
      </c>
      <c r="X30" s="5" t="n">
        <v>100</v>
      </c>
      <c r="Y30" s="5" t="inlineStr">
        <is>
          <t>Tier 1 recruit S2; 8 disconnects 28.6s stripped; 9 segments</t>
        </is>
      </c>
      <c r="Z30" s="5" t="inlineStr">
        <is>
          <t>Stage 1 reading sustained S1(135/89)-&gt;S2(132/88); pre-&gt;post within-session white-coat +5/+8 SBP/DBP</t>
        </is>
      </c>
      <c r="AH30" s="5" t="inlineStr">
        <is>
          <t>Stage 1 reading</t>
        </is>
      </c>
      <c r="AJ30" s="5" t="inlineStr">
        <is>
          <t>v1.1</t>
        </is>
      </c>
      <c r="AK30" s="5" t="inlineStr">
        <is>
          <t>B</t>
        </is>
      </c>
      <c r="AL30" s="5" t="inlineStr">
        <is>
          <t>Y</t>
        </is>
      </c>
      <c r="AM30" s="5" t="inlineStr">
        <is>
          <t>Low PI expected (S1 had 0.36%); 10.6% dead time from disconnects</t>
        </is>
      </c>
      <c r="AS30" s="5" t="inlineStr">
        <is>
          <t>Single-session BP reading per AHA 2017. NOT HTN diagnosis (requires multi-session sustained elevation across days).</t>
        </is>
      </c>
    </row>
    <row r="31" customFormat="1" s="5">
      <c r="A31" s="20" t="inlineStr">
        <is>
          <t>S042</t>
        </is>
      </c>
      <c r="B31" t="inlineStr">
        <is>
          <t>2026-05-11</t>
        </is>
      </c>
      <c r="C31" t="n">
        <v>32</v>
      </c>
      <c r="D31" t="inlineStr">
        <is>
          <t>M</t>
        </is>
      </c>
      <c r="E31" t="n">
        <v>170</v>
      </c>
      <c r="F31" t="n">
        <v>75</v>
      </c>
      <c r="G31" t="n">
        <v>26</v>
      </c>
      <c r="H31" t="inlineStr">
        <is>
          <t>n</t>
        </is>
      </c>
      <c r="I31" t="inlineStr">
        <is>
          <t>n</t>
        </is>
      </c>
      <c r="K31" t="inlineStr">
        <is>
          <t>n</t>
        </is>
      </c>
      <c r="L31" t="inlineStr">
        <is>
          <t>index</t>
        </is>
      </c>
      <c r="M31" t="inlineStr">
        <is>
          <t>left</t>
        </is>
      </c>
      <c r="R31" s="2" t="n">
        <v>130</v>
      </c>
      <c r="S31" s="2" t="n">
        <v>85</v>
      </c>
      <c r="T31" t="n">
        <v>122</v>
      </c>
      <c r="U31" t="n">
        <v>88</v>
      </c>
      <c r="V31" t="inlineStr">
        <is>
          <t>Viet_20260511_214922_stripped_cleaned.csv</t>
        </is>
      </c>
      <c r="W31" t="n">
        <v>268.7</v>
      </c>
      <c r="X31" t="n">
        <v>100</v>
      </c>
      <c r="Y31" t="inlineStr">
        <is>
          <t>Tier 1 recruit S2; no disconnects; fs=100 exact post-strip</t>
        </is>
      </c>
      <c r="Z31" t="inlineStr">
        <is>
          <t>Stage 2 (DBP=95)-&gt;Stage 1 reading (DBP=85), DBP drop -10 mmHg same pattern as Triet. cuff_arm switched right(S1)-&gt;left(S2) still contralateral</t>
        </is>
      </c>
      <c r="AH31" t="inlineStr">
        <is>
          <t>Stage 1 reading</t>
        </is>
      </c>
      <c r="AJ31" t="inlineStr">
        <is>
          <t>v1.1</t>
        </is>
      </c>
      <c r="AK31" t="inlineStr">
        <is>
          <t>B</t>
        </is>
      </c>
      <c r="AL31" t="inlineStr">
        <is>
          <t>Y</t>
        </is>
      </c>
      <c r="AM31" s="15" t="inlineStr">
        <is>
          <t>cuff_arm switched between sessions; inter-arm BP difference possible confound +/-5-10 mmHg</t>
        </is>
      </c>
      <c r="AS31" t="inlineStr">
        <is>
          <t>Single-session BP reading per AHA 2017. NOT HTN diagnosis (requires multi-session sustained elevation across days).</t>
        </is>
      </c>
    </row>
    <row r="32" customFormat="1" s="11">
      <c r="R32" s="2" t="n"/>
      <c r="S32" s="2" t="n"/>
      <c r="AM32" s="17" t="n"/>
    </row>
    <row r="33" customFormat="1" s="5">
      <c r="N33" s="5" t="n">
        <v>126</v>
      </c>
      <c r="O33" s="5" t="n">
        <v>81</v>
      </c>
      <c r="P33" s="5" t="n">
        <v>133</v>
      </c>
      <c r="Q33" s="5" t="n">
        <v>88</v>
      </c>
      <c r="R33" s="2">
        <f>IFERROR(ROUND((N33+P33)/2,0),"")</f>
        <v/>
      </c>
      <c r="S33" s="2" t="inlineStr">
        <is>
          <t> </t>
        </is>
      </c>
      <c r="AM33" s="15" t="n"/>
    </row>
    <row r="34" customFormat="1" s="5">
      <c r="AM34" s="15" t="n"/>
    </row>
    <row r="35" customFormat="1" s="5">
      <c r="AM35" s="15" t="n"/>
    </row>
    <row r="36" customFormat="1" s="5">
      <c r="AM36" s="15" t="n"/>
    </row>
    <row r="37" ht="13.8" customFormat="1" customHeight="1" s="5">
      <c r="AM37" s="1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4.4"/>
  <cols>
    <col width="26" customWidth="1" min="1" max="1"/>
    <col width="14" customWidth="1" min="2" max="3"/>
    <col width="24" customWidth="1" min="4" max="4"/>
  </cols>
  <sheetData>
    <row r="1" ht="18" customHeight="1">
      <c r="A1" s="3" t="inlineStr">
        <is>
          <t>AHA Blood Pressure Categories (2017+)</t>
        </is>
      </c>
    </row>
    <row r="3">
      <c r="A3" s="4" t="inlineStr">
        <is>
          <t>Category</t>
        </is>
      </c>
      <c r="B3" s="4" t="inlineStr">
        <is>
          <t>SBP (mmHg)</t>
        </is>
      </c>
      <c r="C3" s="4" t="inlineStr">
        <is>
          <t>DBP (mmHg)</t>
        </is>
      </c>
      <c r="D3" s="4" t="inlineStr">
        <is>
          <t>Target % thesis recruit</t>
        </is>
      </c>
    </row>
    <row r="4">
      <c r="A4" s="5" t="inlineStr">
        <is>
          <t>Normotensive</t>
        </is>
      </c>
      <c r="B4" s="5" t="inlineStr">
        <is>
          <t>&lt;120</t>
        </is>
      </c>
      <c r="C4" s="5" t="inlineStr">
        <is>
          <t>và &lt;80</t>
        </is>
      </c>
      <c r="D4" s="5" t="inlineStr">
        <is>
          <t>~30%</t>
        </is>
      </c>
    </row>
    <row r="5">
      <c r="A5" s="5" t="inlineStr">
        <is>
          <t>Elevated</t>
        </is>
      </c>
      <c r="B5" s="5" t="inlineStr">
        <is>
          <t>120-129</t>
        </is>
      </c>
      <c r="C5" s="5" t="inlineStr">
        <is>
          <t>và &lt;80</t>
        </is>
      </c>
      <c r="D5" s="5" t="inlineStr">
        <is>
          <t>~10%</t>
        </is>
      </c>
    </row>
    <row r="6">
      <c r="A6" s="5" t="inlineStr">
        <is>
          <t>Hypertension Stage 1</t>
        </is>
      </c>
      <c r="B6" s="5" t="inlineStr">
        <is>
          <t>130-139</t>
        </is>
      </c>
      <c r="C6" s="5" t="inlineStr">
        <is>
          <t>hoặc 80-89</t>
        </is>
      </c>
      <c r="D6" s="5" t="inlineStr">
        <is>
          <t>~25%</t>
        </is>
      </c>
    </row>
    <row r="7">
      <c r="A7" s="5" t="inlineStr">
        <is>
          <t>Hypertension Stage 2</t>
        </is>
      </c>
      <c r="B7" s="5" t="inlineStr">
        <is>
          <t>≥140</t>
        </is>
      </c>
      <c r="C7" s="5" t="inlineStr">
        <is>
          <t>hoặc ≥90</t>
        </is>
      </c>
      <c r="D7" s="5" t="inlineStr">
        <is>
          <t>~30%</t>
        </is>
      </c>
    </row>
    <row r="8">
      <c r="A8" s="5" t="inlineStr">
        <is>
          <t>Hypertensive crisis</t>
        </is>
      </c>
      <c r="B8" s="5" t="inlineStr">
        <is>
          <t>&gt;180</t>
        </is>
      </c>
      <c r="C8" s="5" t="inlineStr">
        <is>
          <t>và/hoặc &gt;120</t>
        </is>
      </c>
      <c r="D8" s="5" t="inlineStr">
        <is>
          <t>~5% (nếu có)</t>
        </is>
      </c>
    </row>
    <row r="10">
      <c r="A10" s="6" t="inlineStr">
        <is>
          <t>Tại sao cần diversity?</t>
        </is>
      </c>
    </row>
    <row r="11">
      <c r="A11" t="inlineStr">
        <is>
          <t>Dataset PPG-BP Liang 2018 có ~80% normotensive, 20% hypertensive.</t>
        </is>
      </c>
    </row>
    <row r="12">
      <c r="A12" t="inlineStr">
        <is>
          <t>→ Self-collected nên ưu tiên Stage 1+2 (gia đình lớn tuổi, người dùng thuốc HA).</t>
        </is>
      </c>
    </row>
    <row r="13">
      <c r="A13" t="inlineStr">
        <is>
          <t>→ Hypertensive samples sẽ giúp model generalize tốt hơn cho high-risk users.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topLeftCell="A16" workbookViewId="0">
      <selection activeCell="A1" sqref="A1"/>
    </sheetView>
  </sheetViews>
  <sheetFormatPr baseColWidth="8" defaultRowHeight="14.4"/>
  <cols>
    <col width="80" customWidth="1" min="1" max="1"/>
  </cols>
  <sheetData>
    <row r="1" ht="18" customHeight="1">
      <c r="A1" s="3" t="inlineStr">
        <is>
          <t>AHA Standard Protocol cho đo BP + PPG</t>
        </is>
      </c>
    </row>
    <row r="3">
      <c r="A3" s="7" t="inlineStr">
        <is>
          <t>TRƯỚC ĐO (5 phút)</t>
        </is>
      </c>
    </row>
    <row r="4">
      <c r="A4" t="inlineStr">
        <is>
          <t>☐  Subject ngồi yên trong phòng yên tĩnh</t>
        </is>
      </c>
    </row>
    <row r="5">
      <c r="A5" t="inlineStr">
        <is>
          <t>☐  KHÔNG nói chuyện, không sử dụng điện thoại</t>
        </is>
      </c>
    </row>
    <row r="6">
      <c r="A6" t="inlineStr">
        <is>
          <t>☐  KHÔNG vận động mạnh &lt; 30 phút</t>
        </is>
      </c>
    </row>
    <row r="7">
      <c r="A7" t="inlineStr">
        <is>
          <t>☐  KHÔNG uống cà phê/trà &lt; 30 phút</t>
        </is>
      </c>
    </row>
    <row r="8">
      <c r="A8" t="inlineStr">
        <is>
          <t>☐  KHÔNG hút thuốc &lt; 30 phút</t>
        </is>
      </c>
    </row>
    <row r="9">
      <c r="A9" t="inlineStr">
        <is>
          <t>☐  Tay đặt ngang tim, lòng bàn tay ngửa lên</t>
        </is>
      </c>
    </row>
    <row r="10">
      <c r="A10" t="inlineStr">
        <is>
          <t>☐  Chân đặt phẳng trên sàn, không bắt chéo</t>
        </is>
      </c>
    </row>
    <row r="12">
      <c r="A12" s="7" t="inlineStr">
        <is>
          <t>ĐO BP cuff Omron HEM-7143T1 (2 lần × 30s)</t>
        </is>
      </c>
    </row>
    <row r="13">
      <c r="A13" t="inlineStr">
        <is>
          <t>☐  Cuff đặt 1-2cm trên khuỷu tay (tay không thuận)</t>
        </is>
      </c>
    </row>
    <row r="14">
      <c r="A14" t="inlineStr">
        <is>
          <t>☐  Cuff vừa khít, lùa được 2 ngón tay vào</t>
        </is>
      </c>
    </row>
    <row r="15">
      <c r="A15" t="inlineStr">
        <is>
          <t>☐  Press START Omron → đo lần 1 → ghi sbp_baseline_1, dbp_baseline_1</t>
        </is>
      </c>
    </row>
    <row r="16">
      <c r="A16" t="inlineStr">
        <is>
          <t>☐  Đợi 1 phút giữa 2 lần đo</t>
        </is>
      </c>
    </row>
    <row r="17">
      <c r="A17" t="inlineStr">
        <is>
          <t>☐  Đo lần 2 → ghi sbp_baseline_2, dbp_baseline_2</t>
        </is>
      </c>
    </row>
    <row r="18">
      <c r="A18" t="inlineStr">
        <is>
          <t>☐  Excel auto-tính sbp_baseline_mean, dbp_baseline_mean</t>
        </is>
      </c>
    </row>
    <row r="20">
      <c r="A20" s="7" t="inlineStr">
        <is>
          <t>ĐO PPG (5 phút streaming)</t>
        </is>
      </c>
    </row>
    <row r="21">
      <c r="A21" t="inlineStr">
        <is>
          <t>☐  Run laptop server: python log_ppg_local.py</t>
        </is>
      </c>
    </row>
    <row r="22">
      <c r="A22" t="inlineStr">
        <is>
          <t>☐  Nhập subject_id + metadata + sbp/dbp baseline khi prompt</t>
        </is>
      </c>
    </row>
    <row r="23">
      <c r="A23" t="inlineStr">
        <is>
          <t>☐  MAX30102 đặt ngón giữa hoặc ngón trỏ tay khác</t>
        </is>
      </c>
    </row>
    <row r="24">
      <c r="A24" t="inlineStr">
        <is>
          <t>☐  Tay không cử động, đặt yên trên bàn</t>
        </is>
      </c>
    </row>
    <row r="25">
      <c r="A25" t="inlineStr">
        <is>
          <t>☐  Press ENTER trên console khi xong (~5 phút)</t>
        </is>
      </c>
    </row>
    <row r="27">
      <c r="A27" s="7" t="inlineStr">
        <is>
          <t>ĐO BP POST (1 lần, sau khi xong PPG)</t>
        </is>
      </c>
    </row>
    <row r="28">
      <c r="A28" t="inlineStr">
        <is>
          <t>☐  Đo Omron lần 3 → ghi sbp_post, dbp_post</t>
        </is>
      </c>
    </row>
    <row r="29">
      <c r="A29" t="inlineStr">
        <is>
          <t>☐  Mục đích: check BP drift trong session</t>
        </is>
      </c>
    </row>
    <row r="31">
      <c r="A31" s="7" t="inlineStr">
        <is>
          <t>LƯU + BACKUP</t>
        </is>
      </c>
    </row>
    <row r="32">
      <c r="A32" t="inlineStr">
        <is>
          <t>☐  CSV PPG đã save automatic vào collected_data/</t>
        </is>
      </c>
    </row>
    <row r="33">
      <c r="A33" t="inlineStr">
        <is>
          <t>☐  Update Excel này: csv_file name, duration_s, fs_hz, notes</t>
        </is>
      </c>
    </row>
    <row r="34">
      <c r="A34" t="inlineStr">
        <is>
          <t>☐  Backup folder collected_data/ + Excel lên Google Drive cuối ngày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1" sqref="A11"/>
    </sheetView>
  </sheetViews>
  <sheetFormatPr baseColWidth="8" defaultRowHeight="14.4"/>
  <sheetData>
    <row r="1">
      <c r="A1" t="inlineStr">
        <is>
          <t>SCHEMA v1.1 MIGRATION NOTES (01/05/2026)</t>
        </is>
      </c>
    </row>
    <row r="3">
      <c r="A3" t="inlineStr">
        <is>
          <t>LƯU Ý QUAN TRỌNG:</t>
        </is>
      </c>
    </row>
    <row r="4">
      <c r="A4" t="inlineStr">
        <is>
          <t>1. Hàng 2-22 (S001-S014?) ĐO THEO PROTOCOL v1.0 (5 phút resting, có thể chỉ 2 lần BP).</t>
        </is>
      </c>
    </row>
    <row r="5">
      <c r="A5" t="inlineStr">
        <is>
          <t xml:space="preserve">   → Giữ nguyên data, KHÔNG retroactively fix. Note ở cột protocol_version = "v1.0".</t>
        </is>
      </c>
    </row>
    <row r="7">
      <c r="A7" t="inlineStr">
        <is>
          <t>2. Hàng MỚI từ row 23+ phải theo PROTOCOL v1.1:</t>
        </is>
      </c>
    </row>
    <row r="8">
      <c r="A8" t="inlineStr">
        <is>
          <t xml:space="preserve">   - Resting 10 phút (không phải 5)</t>
        </is>
      </c>
    </row>
    <row r="9">
      <c r="A9" t="inlineStr">
        <is>
          <t xml:space="preserve">   - Đo BP 3 lần, drop lần 1, MEAN(lần 2, lần 3)</t>
        </is>
      </c>
    </row>
    <row r="10">
      <c r="A10" t="inlineStr">
        <is>
          <t xml:space="preserve">   - 2 sessions cách nhau 2-7 ngày, cùng khung giờ ±1h</t>
        </is>
      </c>
    </row>
    <row r="11">
      <c r="A11" t="inlineStr">
        <is>
          <t xml:space="preserve">   - Inter-arm BP screening Session 1</t>
        </is>
      </c>
    </row>
    <row r="12">
      <c r="A12" t="inlineStr">
        <is>
          <t xml:space="preserve">   - protocol_version = "v1.1"</t>
        </is>
      </c>
    </row>
    <row r="14">
      <c r="A14" t="inlineStr">
        <is>
          <t>3. Formula mới cho sbp_baseline_mean (rows v1.1):</t>
        </is>
      </c>
    </row>
    <row r="15">
      <c r="A15" t="inlineStr">
        <is>
          <t xml:space="preserve">   = ROUND( (sbp_baseline_2 + sbp_baseline_3) / 2, 0 )  -- skip lần 1</t>
        </is>
      </c>
    </row>
    <row r="17">
      <c r="A17" t="inlineStr">
        <is>
          <t>4. AHA BP categories (cột bp_category):</t>
        </is>
      </c>
    </row>
    <row r="18">
      <c r="A18" t="inlineStr">
        <is>
          <t xml:space="preserve">   - Normal:    SBP &lt; 120 AND DBP &lt; 80</t>
        </is>
      </c>
    </row>
    <row r="19">
      <c r="A19" t="inlineStr">
        <is>
          <t xml:space="preserve">   - Elevated:  SBP 120-129 AND DBP &lt; 80</t>
        </is>
      </c>
    </row>
    <row r="20">
      <c r="A20" t="inlineStr">
        <is>
          <t xml:space="preserve">   - Stage 1:   SBP 130-139 OR  DBP 80-89</t>
        </is>
      </c>
    </row>
    <row r="21">
      <c r="A21" t="inlineStr">
        <is>
          <t xml:space="preserve">   - Stage 2:   SBP &gt;= 140 OR  DBP &gt;= 90</t>
        </is>
      </c>
    </row>
    <row r="23">
      <c r="A23" t="inlineStr">
        <is>
          <t>5. cv_fold: assign sau khi xong recruit (1-15 LOSO)</t>
        </is>
      </c>
    </row>
    <row r="25">
      <c r="A25" t="inlineStr">
        <is>
          <t>Reference: QUY_TRINH_THU_MAU.md v1.1 (01/05/2026)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2026-04-27T11:50:54Z</dcterms:created>
  <dcterms:modified xsi:type="dcterms:W3CDTF">2026-05-11T14:59:00Z</dcterms:modified>
  <cp:lastModifiedBy>Danh Phan Quang</cp:lastModifiedBy>
</cp:coreProperties>
</file>